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b065d0662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계요약" sheetId="1" r:id="Re90fc63ec14c4c8e"/>
    <x:sheet xmlns:r="http://schemas.openxmlformats.org/officeDocument/2006/relationships" name="3티어_70종" sheetId="2" r:id="R0f6ece725dd74d74"/>
    <x:sheet xmlns:r="http://schemas.openxmlformats.org/officeDocument/2006/relationships" name="기본_2티어" sheetId="3" r:id="R6f43562de0a84299"/>
    <x:sheet xmlns:r="http://schemas.openxmlformats.org/officeDocument/2006/relationships" name="전체합성식" sheetId="4" r:id="Rf9c88f0828784eab"/>
    <x:sheet xmlns:r="http://schemas.openxmlformats.org/officeDocument/2006/relationships" name="키워드시너지" sheetId="5" r:id="R4b74055a219441a7"/>
    <x:sheet xmlns:r="http://schemas.openxmlformats.org/officeDocument/2006/relationships" name="몬스터약점" sheetId="6" r:id="R19a420a84afc446e"/>
    <x:sheet xmlns:r="http://schemas.openxmlformats.org/officeDocument/2006/relationships" name="추천빌드" sheetId="7" r:id="R4fb68b86964445f6"/>
    <x:sheet xmlns:r="http://schemas.openxmlformats.org/officeDocument/2006/relationships" name="유니티연동" sheetId="8" r:id="R3ace7065915f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"/>
  </x:numFmts>
  <x:fonts count="7">
    <x:font>
      <x:sz val="11"/>
      <x:name val="Carlito"/>
    </x:font>
    <x:font>
      <x:sz val="11"/>
      <x:color rgb="FF172A3A"/>
      <x:name val="Noto Sans CJK KR"/>
    </x:font>
    <x:font>
      <x:b/>
      <x:sz val="16"/>
      <x:color rgb="FF243449"/>
      <x:name val="Noto Sans CJK KR"/>
    </x:font>
    <x:font>
      <x:sz val="10"/>
      <x:color rgb="FF5F6F7E"/>
      <x:name val="Noto Sans CJK KR"/>
    </x:font>
    <x:font>
      <x:b/>
      <x:sz val="11"/>
      <x:color rgb="FFFFFFFF"/>
      <x:name val="Noto Sans CJK KR"/>
    </x:font>
    <x:font>
      <x:b/>
      <x:sz val="11"/>
      <x:color rgb="FF243449"/>
      <x:name val="Noto Sans CJK KR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9"/>
      </x:patternFill>
    </x:fill>
    <x:fill>
      <x:patternFill patternType="solid">
        <x:fgColor rgb="FFEEF3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a584570714311" /><Relationship Type="http://schemas.openxmlformats.org/officeDocument/2006/relationships/theme" Target="/xl/theme/theme1.xml" Id="Ra52167b5abf94a36" /><Relationship Type="http://schemas.openxmlformats.org/officeDocument/2006/relationships/sharedStrings" Target="/xl/sharedStrings.xml" Id="R5212cd9f5d5648d5" /><Relationship Type="http://schemas.openxmlformats.org/officeDocument/2006/relationships/worksheet" Target="/xl/worksheets/sheet1.xml" Id="Re90fc63ec14c4c8e" /><Relationship Type="http://schemas.openxmlformats.org/officeDocument/2006/relationships/worksheet" Target="/xl/worksheets/sheet2.xml" Id="R0f6ece725dd74d74" /><Relationship Type="http://schemas.openxmlformats.org/officeDocument/2006/relationships/worksheet" Target="/xl/worksheets/sheet3.xml" Id="R6f43562de0a84299" /><Relationship Type="http://schemas.openxmlformats.org/officeDocument/2006/relationships/worksheet" Target="/xl/worksheets/sheet4.xml" Id="Rf9c88f0828784eab" /><Relationship Type="http://schemas.openxmlformats.org/officeDocument/2006/relationships/worksheet" Target="/xl/worksheets/sheet5.xml" Id="R4b74055a219441a7" /><Relationship Type="http://schemas.openxmlformats.org/officeDocument/2006/relationships/worksheet" Target="/xl/worksheets/sheet6.xml" Id="R19a420a84afc446e" /><Relationship Type="http://schemas.openxmlformats.org/officeDocument/2006/relationships/worksheet" Target="/xl/worksheets/sheet7.xml" Id="R4fb68b86964445f6" /><Relationship Type="http://schemas.openxmlformats.org/officeDocument/2006/relationships/worksheet" Target="/xl/worksheets/sheet8.xml" Id="R3ace7065915f4ece" /></Relationships>
</file>

<file path=xl/tables/table1.xml><?xml version="1.0" encoding="utf-8"?>
<x:table xmlns:x="http://schemas.openxmlformats.org/spreadsheetml/2006/main" id="1" name="T_0" displayName="T_0" ref="A5:B25" headerRowCount="1" totalsRowCount="0" totalsRowShown="0">
  <x:autoFilter ref="A5:B25"/>
  <x:tableColumns count="2">
    <x:tableColumn id="1" name="항목"/>
    <x:tableColumn id="2" name="설계 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1" displayName="T_1" ref="A5:R75" headerRowCount="1" totalsRowCount="0" totalsRowShown="0">
  <x:autoFilter ref="A5:R75"/>
  <x:tableColumns count="18">
    <x:tableColumn id="1" name="유닛 ID"/>
    <x:tableColumn id="2" name="유닛명"/>
    <x:tableColumn id="3" name="역할"/>
    <x:tableColumn id="4" name="테마 1"/>
    <x:tableColumn id="5" name="테마 2"/>
    <x:tableColumn id="6" name="공격속성"/>
    <x:tableColumn id="7" name="능력명"/>
    <x:tableColumn id="8" name="능력 설명"/>
    <x:tableColumn id="9" name="약점·제약"/>
    <x:tableColumn id="10" name="추천 빌드"/>
    <x:tableColumn id="11" name="기사 수"/>
    <x:tableColumn id="12" name="궁수 수"/>
    <x:tableColumn id="13" name="버퍼 수"/>
    <x:tableColumn id="14" name="힐러 수"/>
    <x:tableColumn id="15" name="마법사 수"/>
    <x:tableColumn id="16" name="구성 키"/>
    <x:tableColumn id="17" name="능력 ID"/>
    <x:tableColumn id="18" name="기본 재료 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2" displayName="T_2" ref="A5:R25" headerRowCount="1" totalsRowCount="0" totalsRowShown="0">
  <x:autoFilter ref="A5:R25"/>
  <x:tableColumns count="18">
    <x:tableColumn id="1" name="유닛 ID"/>
    <x:tableColumn id="2" name="유닛명"/>
    <x:tableColumn id="3" name="역할"/>
    <x:tableColumn id="4" name="테마 1"/>
    <x:tableColumn id="5" name="테마 2"/>
    <x:tableColumn id="6" name="공격속성"/>
    <x:tableColumn id="7" name="능력명"/>
    <x:tableColumn id="8" name="능력 설명"/>
    <x:tableColumn id="9" name="약점·제약"/>
    <x:tableColumn id="10" name="추천 빌드"/>
    <x:tableColumn id="11" name="기사 수"/>
    <x:tableColumn id="12" name="궁수 수"/>
    <x:tableColumn id="13" name="버퍼 수"/>
    <x:tableColumn id="14" name="힐러 수"/>
    <x:tableColumn id="15" name="마법사 수"/>
    <x:tableColumn id="16" name="구성 키"/>
    <x:tableColumn id="17" name="능력 ID"/>
    <x:tableColumn id="18" name="기본 재료 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3" displayName="T_3" ref="A5:J140" headerRowCount="1" totalsRowCount="0" totalsRowShown="0">
  <x:autoFilter ref="A5:J140"/>
  <x:tableColumns count="10">
    <x:tableColumn id="1" name="제작식 ID"/>
    <x:tableColumn id="2" name="재료 A ID"/>
    <x:tableColumn id="3" name="재료 A"/>
    <x:tableColumn id="4" name="재료 B ID"/>
    <x:tableColumn id="5" name="재료 B"/>
    <x:tableColumn id="6" name="결과 ID"/>
    <x:tableColumn id="7" name="결과 유닛"/>
    <x:tableColumn id="8" name="결과 티어"/>
    <x:tableColumn id="9" name="상점 힌트"/>
    <x:tableColumn id="10" name="최종 기본 구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4" displayName="T_4" ref="A5:H13" headerRowCount="1" totalsRowCount="0" totalsRowShown="0">
  <x:autoFilter ref="A5:H13"/>
  <x:tableColumns count="8">
    <x:tableColumn id="1" name="키워드"/>
    <x:tableColumn id="2" name="시너지명"/>
    <x:tableColumn id="3" name="효과 ID"/>
    <x:tableColumn id="4" name="1단계 인원"/>
    <x:tableColumn id="5" name="1단계 증가율"/>
    <x:tableColumn id="6" name="2단계 인원"/>
    <x:tableColumn id="7" name="2단계 증가율"/>
    <x:tableColumn id="8" name="적용 규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5" displayName="T_5" ref="A5:G19" headerRowCount="1" totalsRowCount="0" totalsRowShown="0">
  <x:autoFilter ref="A5:G19"/>
  <x:tableColumns count="7">
    <x:tableColumn id="1" name="몬스터 ID"/>
    <x:tableColumn id="2" name="이름"/>
    <x:tableColumn id="3" name="등급"/>
    <x:tableColumn id="4" name="약점속성"/>
    <x:tableColumn id="5" name="테마"/>
    <x:tableColumn id="6" name="행동"/>
    <x:tableColumn id="7" name="추천 대응 빌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6" displayName="T_6" ref="A5:O15" headerRowCount="1" totalsRowCount="0" totalsRowShown="0">
  <x:autoFilter ref="A5:O15"/>
  <x:tableColumns count="15">
    <x:tableColumn id="1" name="빌드 ID"/>
    <x:tableColumn id="2" name="빌드명"/>
    <x:tableColumn id="3" name="유닛 1 ID"/>
    <x:tableColumn id="4" name="유닛 1"/>
    <x:tableColumn id="5" name="유닛 2 ID"/>
    <x:tableColumn id="6" name="유닛 2"/>
    <x:tableColumn id="7" name="유닛 3 ID"/>
    <x:tableColumn id="8" name="유닛 3"/>
    <x:tableColumn id="9" name="유닛 4 ID"/>
    <x:tableColumn id="10" name="유닛 4"/>
    <x:tableColumn id="11" name="운용"/>
    <x:tableColumn id="12" name="활성 시너지"/>
    <x:tableColumn id="13" name="유리한 적"/>
    <x:tableColumn id="14" name="취약 상황"/>
    <x:tableColumn id="15" name="교체·속성 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7" displayName="T_7" ref="A5:B28" headerRowCount="1" totalsRowCount="0" totalsRowShown="0">
  <x:autoFilter ref="A5:B28"/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461a3a066e4b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ea34279365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5e6078a23248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9f758f4b544d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8a313f3c24c42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6c8ad1ce9947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2271b8ef5da49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381eaca6171423f" /></Relationships>
</file>

<file path=xl/worksheets/sheet1.xml><?xml version="1.0" encoding="utf-8"?>
<x:worksheet xmlns:x="http://schemas.openxmlformats.org/spreadsheetml/2006/main">
  <x:sheetPr>
    <x:tabColor rgb="FF243449"/>
  </x:sheetPr>
  <x:sheetViews>
    <x:sheetView showGridLines="0" workbookViewId="0"/>
  </x:sheetViews>
  <x:sheetFormatPr defaultRowHeight="15"/>
  <x:cols>
    <x:col min="1" max="1" width="24" hidden="0" customWidth="1"/>
    <x:col min="2" max="2" width="11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"/>
      <x:c r="B1" s="2"/>
    </x:row>
    <x:row r="2">
      <x:c r="A2" s="3" t="str">
        <x:v>합성 유닛 디펜스 설계 v0.1</x:v>
      </x:c>
      <x:c r="B2" s="2"/>
    </x:row>
    <x:row r="3">
      <x:c r="A3" s="4" t="str">
        <x:v>2026-10-30 | 합성은 메인에서 진행. 수치는 검증 전 제안값.</x:v>
      </x:c>
      <x:c r="B3" s="2"/>
    </x:row>
    <x:row r="4">
      <x:c r="A4" s="2"/>
      <x:c r="B4" s="2"/>
    </x:row>
    <x:row r="5" ht="30" customHeight="1">
      <x:c r="A5" s="8" t="str">
        <x:v>항목</x:v>
      </x:c>
      <x:c r="B5" s="8" t="str">
        <x:v>설계 내용</x:v>
      </x:c>
      <x:c r="D5" s="18" t="str">
        <x:v>구분</x:v>
      </x:c>
      <x:c r="E5" s="18" t="str">
        <x:v>종류 수</x:v>
      </x:c>
      <x:c r="F5" s="18" t="str">
        <x:v>제작 경로 수</x:v>
      </x:c>
    </x:row>
    <x:row r="6" ht="30" customHeight="1">
      <x:c r="A6" s="10" t="str">
        <x:v>설계 상태</x:v>
      </x:c>
      <x:c r="B6" s="10" t="str">
        <x:v>유닛 이름·능력·키워드는 초기 설계안. 체력·공격력·사거리·재사용 대기시간은 미설정.</x:v>
      </x:c>
      <x:c r="D6" t="str">
        <x:v>1티어</x:v>
      </x:c>
      <x:c r="E6" s="19" t="n">
        <x:f>COUNTIFS('기본_2티어'!$R$6:$R$25,1)</x:f>
        <x:v>5</x:v>
      </x:c>
      <x:c r="F6" s="19" t="n">
        <x:v>0</x:v>
      </x:c>
    </x:row>
    <x:row r="7" ht="30" customHeight="1">
      <x:c r="A7" s="9" t="str">
        <x:v>게임 흐름</x:v>
      </x:c>
      <x:c r="B7" s="9" t="str">
        <x:v>메인에서 제작·합성·제작법 발견 → 보유 개체 편성 → 타워디펜스 → 보상으로 전력 보강</x:v>
      </x:c>
      <x:c r="D7" t="str">
        <x:v>2티어</x:v>
      </x:c>
      <x:c r="E7" s="19" t="n">
        <x:f>COUNTIFS('기본_2티어'!$R$6:$R$25,2)</x:f>
        <x:v>15</x:v>
      </x:c>
      <x:c r="F7" s="19" t="n">
        <x:f>COUNTIFS('전체합성식'!$H$6:$H$140,2)</x:f>
        <x:v>15</x:v>
      </x:c>
    </x:row>
    <x:row r="8" ht="30" customHeight="1">
      <x:c r="A8" s="10" t="str">
        <x:v>합성 조건</x:v>
      </x:c>
      <x:c r="B8" s="10" t="str">
        <x:v>1티어+1티어 → 2티어. 2티어+2티어 → 3티어. 같은 종류 합성 허용. 순서 무관.</x:v>
      </x:c>
      <x:c r="D8" t="str">
        <x:v>3티어</x:v>
      </x:c>
      <x:c r="E8" s="19" t="n">
        <x:f>COUNTA('3티어_70종'!$A$6:$A$75)</x:f>
        <x:v>70</x:v>
      </x:c>
      <x:c r="F8" s="19" t="n">
        <x:f>COUNTIFS('전체합성식'!$H$6:$H$140,3)</x:f>
        <x:v>120</x:v>
      </x:c>
    </x:row>
    <x:row r="9" ht="30" customHeight="1">
      <x:c r="A9" s="9" t="str">
        <x:v>최종 결과</x:v>
      </x:c>
      <x:c r="B9" s="9" t="str">
        <x:v>기본 직업 종류와 개수가 같으면 같은 결과. 중간 경로에 따른 능력·키워드 차이 없음.</x:v>
      </x:c>
      <x:c r="D9" t="str">
        <x:v>합계</x:v>
      </x:c>
      <x:c r="E9" s="19" t="n">
        <x:f>SUM(E6:E8)</x:f>
        <x:v>90</x:v>
      </x:c>
      <x:c r="F9" s="19" t="n">
        <x:f>SUM(F6:F8)</x:f>
        <x:v>135</x:v>
      </x:c>
    </x:row>
    <x:row r="10" ht="45" customHeight="1">
      <x:c r="A10" s="10" t="str">
        <x:v>재료 소모 제안</x:v>
      </x:c>
      <x:c r="B10" s="10" t="str">
        <x:v>합성 시 재료 개체 2명을 소모하고 결과 개체 1명을 생성. 같은 ID 2개면 실제 개체도 2명 필요.</x:v>
      </x:c>
    </x:row>
    <x:row r="11" ht="45" customHeight="1">
      <x:c r="A11" s="9" t="str">
        <x:v>제작법 제안</x:v>
      </x:c>
      <x:c r="B11" s="9" t="str">
        <x:v>구매는 정보 공개. 제작식 미구매 상태에서도 재료를 맞추면 합성 가능. 발견 기록은 영구 유지.</x:v>
      </x:c>
    </x:row>
    <x:row r="12" ht="30" customHeight="1">
      <x:c r="A12" s="10" t="str">
        <x:v>상점 공개 범위</x:v>
      </x:c>
      <x:c r="B12" s="10" t="str">
        <x:v>해당 결과와 직접 재료 2개만 공개. 하위 재료의 제작식은 연쇄 공개하지 않음. 대표 경로는 결과마다 1개.</x:v>
      </x:c>
      <x:c r="D12" s="18" t="str">
        <x:v>내보내기 설정</x:v>
      </x:c>
      <x:c r="E12" s="18" t="str">
        <x:v>값</x:v>
      </x:c>
      <x:c r="F12" s="18" t="str">
        <x:v>단위</x:v>
      </x:c>
    </x:row>
    <x:row r="13" ht="30" customHeight="1">
      <x:c r="A13" s="9" t="str">
        <x:v>유닛 종류</x:v>
      </x:c>
      <x:c r="B13" s="9" t="str">
        <x:v>1티어 5종 + 2티어 15종 + 3티어 70종 = 총 90종</x:v>
      </x:c>
      <x:c r="D13" t="str">
        <x:v>약점 배율</x:v>
      </x:c>
      <x:c r="E13" s="21" t="n">
        <x:v>1.5</x:v>
      </x:c>
      <x:c r="F13" t="str">
        <x:v>배</x:v>
      </x:c>
    </x:row>
    <x:row r="14" ht="30" customHeight="1">
      <x:c r="A14" s="10" t="str">
        <x:v>제작 경로</x:v>
      </x:c>
      <x:c r="B14" s="10" t="str">
        <x:v>2티어 결과 제작식 15개 + 3티어 결과 제작식 120개 = 총 135개. 순서 중복 제외.</x:v>
      </x:c>
      <x:c r="D14" t="str">
        <x:v>편성 인원 초안</x:v>
      </x:c>
      <x:c r="E14" s="22" t="n">
        <x:v>4</x:v>
      </x:c>
      <x:c r="F14" t="str">
        <x:v>명</x:v>
      </x:c>
    </x:row>
    <x:row r="15" ht="45" customHeight="1">
      <x:c r="A15" s="9" t="str">
        <x:v>테마 키워드 제안</x:v>
      </x:c>
      <x:c r="B15" s="9" t="str">
        <x:v>유닛마다 2개. 궁정·신성·비전·자연·공학·암영·북방·용맹. 소속·전투 방식에 맞춰 부여.</x:v>
      </x:c>
    </x:row>
    <x:row r="16" ht="45" customHeight="1">
      <x:c r="A16" s="10" t="str">
        <x:v>공격속성 제안</x:v>
      </x:c>
      <x:c r="B16" s="10" t="str">
        <x:v>유닛마다 물리·화염·냉기·번개·신성·암흑·자연 중 1개. 신성 테마와 신성 공격속성은 별도 필드.</x:v>
      </x:c>
    </x:row>
    <x:row r="17" ht="45" customHeight="1">
      <x:c r="A17" s="9" t="str">
        <x:v>약점 판정 제안</x:v>
      </x:c>
      <x:c r="B17" s="9" t="str">
        <x:v>공격속성이 몬스터 약점 목록 중 하나와 일치하면 피해 ×1.5. 약점이 여러 개여도 한 번만 적용. 회복·보호막에는 미적용.</x:v>
      </x:c>
    </x:row>
    <x:row r="18" ht="45" customHeight="1">
      <x:c r="A18" s="10" t="str">
        <x:v>시너지 제안</x:v>
      </x:c>
      <x:c r="B18" s="10" t="str">
        <x:v>동일 테마의 서로 다른 유닛 ID 2종/4종으로 발동. 동일 유닛 복수 편성은 해당 키워드 카운트에 한 번만 반영.</x:v>
      </x:c>
    </x:row>
    <x:row r="19" ht="45" customHeight="1">
      <x:c r="A19" s="9" t="str">
        <x:v>편성 규모 제안</x:v>
      </x:c>
      <x:c r="B19" s="9" t="str">
        <x:v>비교용 추천 빌드는 4명 기준. 실제 편성 한도와 중복 편성 제한은 추후 결정.</x:v>
      </x:c>
    </x:row>
    <x:row r="20" ht="45" customHeight="1">
      <x:c r="A20" s="10" t="str">
        <x:v>전투 전 정보 제안</x:v>
      </x:c>
      <x:c r="B20" s="10" t="str">
        <x:v>적의 약점속성은 출전 전 공개. 제작 경로는 발견 대상으로 유지하고 약점은 편성 판단에 사용.</x:v>
      </x:c>
    </x:row>
    <x:row r="21" ht="45" customHeight="1">
      <x:c r="A21" s="9" t="str">
        <x:v>배치 모델 제안</x:v>
      </x:c>
      <x:c r="B21" s="9" t="str">
        <x:v>전방 유닛은 길 위에서 저지하고 원거리 유닛은 인접 배치 칸에서 공격. 실제 맵·길찾기는 별도 구현.</x:v>
      </x:c>
    </x:row>
    <x:row r="22" ht="45" customHeight="1">
      <x:c r="A22" s="10" t="str">
        <x:v>추후 결정</x:v>
      </x:c>
      <x:c r="B22" s="10" t="str">
        <x:v>스테이지 보상·제작 비용·기본 유닛 공급·체력·공격력·공격주기·스킬 계수·저지 수·사거리</x:v>
      </x:c>
    </x:row>
    <x:row r="23" ht="45" customHeight="1">
      <x:c r="A23" s="9" t="str">
        <x:v>키워드 읽기</x:v>
      </x:c>
      <x:c r="B23" s="9" t="str">
        <x:v>테마는 편성 시너지용, 속성은 약점 판정용. 같은 단어가 있어도 두 판정은 서로 독립.</x:v>
      </x:c>
    </x:row>
    <x:row r="24" ht="45" customHeight="1">
      <x:c r="A24" s="10" t="str">
        <x:v>데이터 편집</x:v>
      </x:c>
      <x:c r="B24" s="10" t="str">
        <x:v>3티어_70종 및 기본_2티어의 유닛 내용을 수정한 뒤 Tools/export_workbook.py로 다시 JSON 출력.</x:v>
      </x:c>
    </x:row>
    <x:row r="25" ht="45" customHeight="1">
      <x:c r="A25" s="9" t="str">
        <x:v>내보내기 주의</x:v>
      </x:c>
      <x:c r="B25" s="9" t="str">
        <x:v>전체합성식은 기본 직업 구성으로 생성한 결과표. 내보내기는 이 표를 복사하지 않고 유닛 구성에서 재생성.</x:v>
      </x:c>
    </x:row>
  </x:sheetData>
  <x:pageMargins left="0.7" right="0.7" top="0.75" bottom="0.75" header="0.3" footer="0.3"/>
  <x:tableParts count="1">
    <x:tablePart xmlns:r="http://schemas.openxmlformats.org/officeDocument/2006/relationships" r:id="R70461a3a066e4b1b"/>
  </x:tableParts>
</x:worksheet>
</file>

<file path=xl/worksheets/sheet2.xml><?xml version="1.0" encoding="utf-8"?>
<x:worksheet xmlns:x="http://schemas.openxmlformats.org/spreadsheetml/2006/main">
  <x:sheetPr>
    <x:tabColor rgb="FF305E6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72" hidden="0" customWidth="1"/>
    <x:col min="9" max="9" width="46" hidden="0" customWidth="1"/>
    <x:col min="10" max="10" width="2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8" hidden="0" customWidth="1"/>
    <x:col min="17" max="17" width="23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3티어 전체 70종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4" t="str">
        <x:v>테마는 편성 시너지, 공격속성은 몬스터 약점 판정에 사용. 오른쪽 직업 수가 합성 결과의 기준.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8" t="str">
        <x:v>유닛 ID</x:v>
      </x:c>
      <x:c r="B5" s="8" t="str">
        <x:v>유닛명</x:v>
      </x:c>
      <x:c r="C5" s="8" t="str">
        <x:v>역할</x:v>
      </x:c>
      <x:c r="D5" s="8" t="str">
        <x:v>테마 1</x:v>
      </x:c>
      <x:c r="E5" s="8" t="str">
        <x:v>테마 2</x:v>
      </x:c>
      <x:c r="F5" s="8" t="str">
        <x:v>공격속성</x:v>
      </x:c>
      <x:c r="G5" s="8" t="str">
        <x:v>능력명</x:v>
      </x:c>
      <x:c r="H5" s="8" t="str">
        <x:v>능력 설명</x:v>
      </x:c>
      <x:c r="I5" s="8" t="str">
        <x:v>약점·제약</x:v>
      </x:c>
      <x:c r="J5" s="8" t="str">
        <x:v>추천 빌드</x:v>
      </x:c>
      <x:c r="K5" s="8" t="str">
        <x:v>기사 수</x:v>
      </x:c>
      <x:c r="L5" s="8" t="str">
        <x:v>궁수 수</x:v>
      </x:c>
      <x:c r="M5" s="8" t="str">
        <x:v>버퍼 수</x:v>
      </x:c>
      <x:c r="N5" s="8" t="str">
        <x:v>힐러 수</x:v>
      </x:c>
      <x:c r="O5" s="8" t="str">
        <x:v>마법사 수</x:v>
      </x:c>
      <x:c r="P5" s="8" t="str">
        <x:v>구성 키</x:v>
      </x:c>
      <x:c r="Q5" s="8" t="str">
        <x:v>능력 ID</x:v>
      </x:c>
      <x:c r="R5" s="8" t="str">
        <x:v>기본 재료 수</x:v>
      </x:c>
    </x:row>
    <x:row r="6" ht="50" customHeight="1">
      <x:c r="A6" s="13" t="str">
        <x:v>U3_40000</x:v>
      </x:c>
      <x:c r="B6" s="13" t="str">
        <x:v>철벽수호자</x:v>
      </x:c>
      <x:c r="C6" s="10" t="str">
        <x:v>다중 저지</x:v>
      </x:c>
      <x:c r="D6" s="10" t="str">
        <x:v>궁정</x:v>
      </x:c>
      <x:c r="E6" s="10" t="str">
        <x:v>용맹</x:v>
      </x:c>
      <x:c r="F6" s="10" t="str">
        <x:v>물리</x:v>
      </x:c>
      <x:c r="G6" s="10" t="str">
        <x:v>불락의 방벽</x:v>
      </x:c>
      <x:c r="H6" s="10" t="str">
        <x:v>저지 중인 적 수에 따라 자신의 피해 감소가 증가하며 상한을 둔다.</x:v>
      </x:c>
      <x:c r="I6" s="10" t="str">
        <x:v>우회하는 적과 원거리 집중 공격에 약하다</x:v>
      </x:c>
      <x:c r="J6" s="10" t="str">
        <x:v>철벽 사격</x:v>
      </x:c>
      <x:c r="K6" s="11" t="n">
        <x:v>4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0" t="str">
        <x:v>4_0_0_0_0</x:v>
      </x:c>
      <x:c r="Q6" s="10" t="str">
        <x:v>SK_U3_40000</x:v>
      </x:c>
      <x:c r="R6" s="11" t="n">
        <x:f>SUM(K6:O6)</x:f>
        <x:v>4</x:v>
      </x:c>
    </x:row>
    <x:row r="7" ht="50" customHeight="1">
      <x:c r="A7" s="14" t="str">
        <x:v>U3_04000</x:v>
      </x:c>
      <x:c r="B7" s="14" t="str">
        <x:v>천리궁수</x:v>
      </x:c>
      <x:c r="C7" s="9" t="str">
        <x:v>단일 저격</x:v>
      </x:c>
      <x:c r="D7" s="9" t="str">
        <x:v>자연</x:v>
      </x:c>
      <x:c r="E7" s="9" t="str">
        <x:v>궁정</x:v>
      </x:c>
      <x:c r="F7" s="9" t="str">
        <x:v>물리</x:v>
      </x:c>
      <x:c r="G7" s="9" t="str">
        <x:v>천리안</x:v>
      </x:c>
      <x:c r="H7" s="9" t="str">
        <x:v>사거리 안에서 최대 체력이 가장 높은 적을 우선 공격한다. 같은 목표를 유지하면 사거리가 늘어난다.</x:v>
      </x:c>
      <x:c r="I7" s="9" t="str">
        <x:v>다수의 약한 적 처리가 느리다</x:v>
      </x:c>
      <x:c r="J7" s="9" t="str">
        <x:v>철벽 사격</x:v>
      </x:c>
      <x:c r="K7" s="12" t="n">
        <x:v>0</x:v>
      </x:c>
      <x:c r="L7" s="12" t="n">
        <x:v>4</x:v>
      </x:c>
      <x:c r="M7" s="12" t="n">
        <x:v>0</x:v>
      </x:c>
      <x:c r="N7" s="12" t="n">
        <x:v>0</x:v>
      </x:c>
      <x:c r="O7" s="12" t="n">
        <x:v>0</x:v>
      </x:c>
      <x:c r="P7" s="9" t="str">
        <x:v>0_4_0_0_0</x:v>
      </x:c>
      <x:c r="Q7" s="9" t="str">
        <x:v>SK_U3_04000</x:v>
      </x:c>
      <x:c r="R7" s="12" t="n">
        <x:f>SUM(K7:O7)</x:f>
        <x:v>4</x:v>
      </x:c>
    </x:row>
    <x:row r="8" ht="50" customHeight="1">
      <x:c r="A8" s="13" t="str">
        <x:v>U3_00400</x:v>
      </x:c>
      <x:c r="B8" s="13" t="str">
        <x:v>왕실기수</x:v>
      </x:c>
      <x:c r="C8" s="10" t="str">
        <x:v>광역 강화</x:v>
      </x:c>
      <x:c r="D8" s="10" t="str">
        <x:v>궁정</x:v>
      </x:c>
      <x:c r="E8" s="10" t="str">
        <x:v>용맹</x:v>
      </x:c>
      <x:c r="F8" s="10" t="str">
        <x:v>물리</x:v>
      </x:c>
      <x:c r="G8" s="10" t="str">
        <x:v>왕명 선포</x:v>
      </x:c>
      <x:c r="H8" s="10" t="str">
        <x:v>전투 시작 시 궁정 아군에게 공격력 강화와 보호막을 부여한다. 동일 스킬은 중첩되지 않는다.</x:v>
      </x:c>
      <x:c r="I8" s="10" t="str">
        <x:v>강화 해제에 취약하고 직접 화력이 낮다</x:v>
      </x:c>
      <x:c r="J8" s="10" t="str">
        <x:v>궁정 진형</x:v>
      </x:c>
      <x:c r="K8" s="11" t="n">
        <x:v>0</x:v>
      </x:c>
      <x:c r="L8" s="11" t="n">
        <x:v>0</x:v>
      </x:c>
      <x:c r="M8" s="11" t="n">
        <x:v>4</x:v>
      </x:c>
      <x:c r="N8" s="11" t="n">
        <x:v>0</x:v>
      </x:c>
      <x:c r="O8" s="11" t="n">
        <x:v>0</x:v>
      </x:c>
      <x:c r="P8" s="10" t="str">
        <x:v>0_0_4_0_0</x:v>
      </x:c>
      <x:c r="Q8" s="10" t="str">
        <x:v>SK_U3_00400</x:v>
      </x:c>
      <x:c r="R8" s="11" t="n">
        <x:f>SUM(K8:O8)</x:f>
        <x:v>4</x:v>
      </x:c>
    </x:row>
    <x:row r="9" ht="50" customHeight="1">
      <x:c r="A9" s="14" t="str">
        <x:v>U3_00040</x:v>
      </x:c>
      <x:c r="B9" s="14" t="str">
        <x:v>생명의 대성자</x:v>
      </x:c>
      <x:c r="C9" s="9" t="str">
        <x:v>전체 회복</x:v>
      </x:c>
      <x:c r="D9" s="9" t="str">
        <x:v>신성</x:v>
      </x:c>
      <x:c r="E9" s="9" t="str">
        <x:v>자연</x:v>
      </x:c>
      <x:c r="F9" s="9" t="str">
        <x:v>신성</x:v>
      </x:c>
      <x:c r="G9" s="9" t="str">
        <x:v>생명의 종</x:v>
      </x:c>
      <x:c r="H9" s="9" t="str">
        <x:v>일정 주기마다 모든 아군을 회복한다. 살아 있는 아군만 대상으로 한다.</x:v>
      </x:c>
      <x:c r="I9" s="9" t="str">
        <x:v>회복 사이의 순간 피해에 취약하다</x:v>
      </x:c>
      <x:c r="J9" s="9" t="str">
        <x:v>성역 유지</x:v>
      </x:c>
      <x:c r="K9" s="12" t="n">
        <x:v>0</x:v>
      </x:c>
      <x:c r="L9" s="12" t="n">
        <x:v>0</x:v>
      </x:c>
      <x:c r="M9" s="12" t="n">
        <x:v>0</x:v>
      </x:c>
      <x:c r="N9" s="12" t="n">
        <x:v>4</x:v>
      </x:c>
      <x:c r="O9" s="12" t="n">
        <x:v>0</x:v>
      </x:c>
      <x:c r="P9" s="9" t="str">
        <x:v>0_0_0_4_0</x:v>
      </x:c>
      <x:c r="Q9" s="9" t="str">
        <x:v>SK_U3_00040</x:v>
      </x:c>
      <x:c r="R9" s="12" t="n">
        <x:f>SUM(K9:O9)</x:f>
        <x:v>4</x:v>
      </x:c>
    </x:row>
    <x:row r="10" ht="50" customHeight="1">
      <x:c r="A10" s="13" t="str">
        <x:v>U3_00004</x:v>
      </x:c>
      <x:c r="B10" s="13" t="str">
        <x:v>대현자</x:v>
      </x:c>
      <x:c r="C10" s="10" t="str">
        <x:v>광역 폭발</x:v>
      </x:c>
      <x:c r="D10" s="10" t="str">
        <x:v>비전</x:v>
      </x:c>
      <x:c r="E10" s="10" t="str">
        <x:v>공학</x:v>
      </x:c>
      <x:c r="F10" s="10" t="str">
        <x:v>화염</x:v>
      </x:c>
      <x:c r="G10" s="10" t="str">
        <x:v>천체 붕괴</x:v>
      </x:c>
      <x:c r="H10" s="10" t="str">
        <x:v>준비 후 목표 지점에 광역 피해를 주며 비전 표식이 있는 적에게 추가 피해를 준다.</x:v>
      </x:c>
      <x:c r="I10" s="10" t="str">
        <x:v>준비 시간이 길고 분산 진입에 약하다</x:v>
      </x:c>
      <x:c r="J10" s="10" t="str">
        <x:v>빙결 포격</x:v>
      </x:c>
      <x:c r="K10" s="11" t="n">
        <x:v>0</x:v>
      </x:c>
      <x:c r="L10" s="11" t="n">
        <x:v>0</x:v>
      </x:c>
      <x:c r="M10" s="11" t="n">
        <x:v>0</x:v>
      </x:c>
      <x:c r="N10" s="11" t="n">
        <x:v>0</x:v>
      </x:c>
      <x:c r="O10" s="11" t="n">
        <x:v>4</x:v>
      </x:c>
      <x:c r="P10" s="10" t="str">
        <x:v>0_0_0_0_4</x:v>
      </x:c>
      <x:c r="Q10" s="10" t="str">
        <x:v>SK_U3_00004</x:v>
      </x:c>
      <x:c r="R10" s="11" t="n">
        <x:f>SUM(K10:O10)</x:f>
        <x:v>4</x:v>
      </x:c>
    </x:row>
    <x:row r="11" ht="50" customHeight="1">
      <x:c r="A11" s="14" t="str">
        <x:v>U3_31000</x:v>
      </x:c>
      <x:c r="B11" s="14" t="str">
        <x:v>성문 사냥꾼</x:v>
      </x:c>
      <x:c r="C11" s="9" t="str">
        <x:v>저지 반격</x:v>
      </x:c>
      <x:c r="D11" s="9" t="str">
        <x:v>궁정</x:v>
      </x:c>
      <x:c r="E11" s="9" t="str">
        <x:v>자연</x:v>
      </x:c>
      <x:c r="F11" s="9" t="str">
        <x:v>물리</x:v>
      </x:c>
      <x:c r="G11" s="9" t="str">
        <x:v>성문 쇠뇌</x:v>
      </x:c>
      <x:c r="H11" s="9" t="str">
        <x:v>적을 저지하면서 사거리 내 저지되지 않은 적에게 반격 탄환을 발사한다.</x:v>
      </x:c>
      <x:c r="I11" s="9" t="str">
        <x:v>저지가 풀리면 반격이 발동하지 않는다</x:v>
      </x:c>
      <x:c r="J11" s="9" t="str">
        <x:v>철벽 사격</x:v>
      </x:c>
      <x:c r="K11" s="12" t="n">
        <x:v>3</x:v>
      </x:c>
      <x:c r="L11" s="12" t="n">
        <x:v>1</x:v>
      </x:c>
      <x:c r="M11" s="12" t="n">
        <x:v>0</x:v>
      </x:c>
      <x:c r="N11" s="12" t="n">
        <x:v>0</x:v>
      </x:c>
      <x:c r="O11" s="12" t="n">
        <x:v>0</x:v>
      </x:c>
      <x:c r="P11" s="9" t="str">
        <x:v>3_1_0_0_0</x:v>
      </x:c>
      <x:c r="Q11" s="9" t="str">
        <x:v>SK_U3_31000</x:v>
      </x:c>
      <x:c r="R11" s="12" t="n">
        <x:f>SUM(K11:O11)</x:f>
        <x:v>4</x:v>
      </x:c>
    </x:row>
    <x:row r="12" ht="50" customHeight="1">
      <x:c r="A12" s="13" t="str">
        <x:v>U3_30100</x:v>
      </x:c>
      <x:c r="B12" s="13" t="str">
        <x:v>왕실근위대장</x:v>
      </x:c>
      <x:c r="C12" s="10" t="str">
        <x:v>진형 보호</x:v>
      </x:c>
      <x:c r="D12" s="10" t="str">
        <x:v>궁정</x:v>
      </x:c>
      <x:c r="E12" s="10" t="str">
        <x:v>용맹</x:v>
      </x:c>
      <x:c r="F12" s="10" t="str">
        <x:v>물리</x:v>
      </x:c>
      <x:c r="G12" s="10" t="str">
        <x:v>근위 맹세</x:v>
      </x:c>
      <x:c r="H12" s="10" t="str">
        <x:v>자신 뒤쪽에 배치된 아군에게 가해지는 피해 일부를 대신 받는다. 이전 피해는 다시 이전되지 않는다.</x:v>
      </x:c>
      <x:c r="I12" s="10" t="str">
        <x:v>광역 공격에 자신이 큰 피해를 받을 수 있다</x:v>
      </x:c>
      <x:c r="J12" s="10" t="str">
        <x:v>궁정 진형</x:v>
      </x:c>
      <x:c r="K12" s="11" t="n">
        <x:v>3</x:v>
      </x:c>
      <x:c r="L12" s="11" t="n">
        <x:v>0</x:v>
      </x:c>
      <x:c r="M12" s="11" t="n">
        <x:v>1</x:v>
      </x:c>
      <x:c r="N12" s="11" t="n">
        <x:v>0</x:v>
      </x:c>
      <x:c r="O12" s="11" t="n">
        <x:v>0</x:v>
      </x:c>
      <x:c r="P12" s="10" t="str">
        <x:v>3_0_1_0_0</x:v>
      </x:c>
      <x:c r="Q12" s="10" t="str">
        <x:v>SK_U3_30100</x:v>
      </x:c>
      <x:c r="R12" s="11" t="n">
        <x:f>SUM(K12:O12)</x:f>
        <x:v>4</x:v>
      </x:c>
    </x:row>
    <x:row r="13" ht="50" customHeight="1">
      <x:c r="A13" s="14" t="str">
        <x:v>U3_30010</x:v>
      </x:c>
      <x:c r="B13" s="14" t="str">
        <x:v>순교수호자</x:v>
      </x:c>
      <x:c r="C13" s="9" t="str">
        <x:v>위기 회복</x:v>
      </x:c>
      <x:c r="D13" s="9" t="str">
        <x:v>신성</x:v>
      </x:c>
      <x:c r="E13" s="9" t="str">
        <x:v>용맹</x:v>
      </x:c>
      <x:c r="F13" s="9" t="str">
        <x:v>신성</x:v>
      </x:c>
      <x:c r="G13" s="9" t="str">
        <x:v>순교의 방패</x:v>
      </x:c>
      <x:c r="H13" s="9" t="str">
        <x:v>체력이 위기 기준 아래로 내려가면 자신을 회복하고 잠시 피해를 줄인다. 재발동 대기시간이 있다.</x:v>
      </x:c>
      <x:c r="I13" s="9" t="str">
        <x:v>위기 발동 전 큰 일격에 쓰러질 수 있다</x:v>
      </x:c>
      <x:c r="J13" s="9" t="str">
        <x:v>성역 유지</x:v>
      </x:c>
      <x:c r="K13" s="12" t="n">
        <x:v>3</x:v>
      </x:c>
      <x:c r="L13" s="12" t="n">
        <x:v>0</x:v>
      </x:c>
      <x:c r="M13" s="12" t="n">
        <x:v>0</x:v>
      </x:c>
      <x:c r="N13" s="12" t="n">
        <x:v>1</x:v>
      </x:c>
      <x:c r="O13" s="12" t="n">
        <x:v>0</x:v>
      </x:c>
      <x:c r="P13" s="9" t="str">
        <x:v>3_0_0_1_0</x:v>
      </x:c>
      <x:c r="Q13" s="9" t="str">
        <x:v>SK_U3_30010</x:v>
      </x:c>
      <x:c r="R13" s="12" t="n">
        <x:f>SUM(K13:O13)</x:f>
        <x:v>4</x:v>
      </x:c>
    </x:row>
    <x:row r="14" ht="50" customHeight="1">
      <x:c r="A14" s="13" t="str">
        <x:v>U3_30001</x:v>
      </x:c>
      <x:c r="B14" s="13" t="str">
        <x:v>용광로 기사</x:v>
      </x:c>
      <x:c r="C14" s="10" t="str">
        <x:v>화염 저지</x:v>
      </x:c>
      <x:c r="D14" s="10" t="str">
        <x:v>공학</x:v>
      </x:c>
      <x:c r="E14" s="10" t="str">
        <x:v>용맹</x:v>
      </x:c>
      <x:c r="F14" s="10" t="str">
        <x:v>화염</x:v>
      </x:c>
      <x:c r="G14" s="10" t="str">
        <x:v>과열 갑옷</x:v>
      </x:c>
      <x:c r="H14" s="10" t="str">
        <x:v>적을 저지하는 동안 열기를 쌓고 최대 중첩에서 주변 적에게 화염 피해를 준다.</x:v>
      </x:c>
      <x:c r="I14" s="10" t="str">
        <x:v>적이 붙지 않으면 열기를 쌓기 어렵다</x:v>
      </x:c>
      <x:c r="J14" s="10" t="str">
        <x:v>용광로 방어</x:v>
      </x:c>
      <x:c r="K14" s="11" t="n">
        <x:v>3</x:v>
      </x:c>
      <x:c r="L14" s="11" t="n">
        <x:v>0</x:v>
      </x:c>
      <x:c r="M14" s="11" t="n">
        <x:v>0</x:v>
      </x:c>
      <x:c r="N14" s="11" t="n">
        <x:v>0</x:v>
      </x:c>
      <x:c r="O14" s="11" t="n">
        <x:v>1</x:v>
      </x:c>
      <x:c r="P14" s="10" t="str">
        <x:v>3_0_0_0_1</x:v>
      </x:c>
      <x:c r="Q14" s="10" t="str">
        <x:v>SK_U3_30001</x:v>
      </x:c>
      <x:c r="R14" s="11" t="n">
        <x:f>SUM(K14:O14)</x:f>
        <x:v>4</x:v>
      </x:c>
    </x:row>
    <x:row r="15" ht="50" customHeight="1">
      <x:c r="A15" s="14" t="str">
        <x:v>U3_13000</x:v>
      </x:c>
      <x:c r="B15" s="14" t="str">
        <x:v>철갑저격수</x:v>
      </x:c>
      <x:c r="C15" s="9" t="str">
        <x:v>방호 저격</x:v>
      </x:c>
      <x:c r="D15" s="9" t="str">
        <x:v>궁정</x:v>
      </x:c>
      <x:c r="E15" s="9" t="str">
        <x:v>공학</x:v>
      </x:c>
      <x:c r="F15" s="9" t="str">
        <x:v>물리</x:v>
      </x:c>
      <x:c r="G15" s="9" t="str">
        <x:v>장갑 사격</x:v>
      </x:c>
      <x:c r="H15" s="9" t="str">
        <x:v>공격 준비 중 자신에게 보호막을 부여하고 목표 하나에게 강한 물리 피해를 준다.</x:v>
      </x:c>
      <x:c r="I15" s="9" t="str">
        <x:v>공격 준비를 방해받으면 손실이 크다</x:v>
      </x:c>
      <x:c r="J15" s="9" t="str">
        <x:v>철벽 사격</x:v>
      </x:c>
      <x:c r="K15" s="12" t="n">
        <x:v>1</x:v>
      </x:c>
      <x:c r="L15" s="12" t="n">
        <x:v>3</x:v>
      </x:c>
      <x:c r="M15" s="12" t="n">
        <x:v>0</x:v>
      </x:c>
      <x:c r="N15" s="12" t="n">
        <x:v>0</x:v>
      </x:c>
      <x:c r="O15" s="12" t="n">
        <x:v>0</x:v>
      </x:c>
      <x:c r="P15" s="9" t="str">
        <x:v>1_3_0_0_0</x:v>
      </x:c>
      <x:c r="Q15" s="9" t="str">
        <x:v>SK_U3_13000</x:v>
      </x:c>
      <x:c r="R15" s="12" t="n">
        <x:f>SUM(K15:O15)</x:f>
        <x:v>4</x:v>
      </x:c>
    </x:row>
    <x:row r="16" ht="50" customHeight="1">
      <x:c r="A16" s="13" t="str">
        <x:v>U3_03100</x:v>
      </x:c>
      <x:c r="B16" s="13" t="str">
        <x:v>폭풍사수</x:v>
      </x:c>
      <x:c r="C16" s="10" t="str">
        <x:v>연속 공격</x:v>
      </x:c>
      <x:c r="D16" s="10" t="str">
        <x:v>궁정</x:v>
      </x:c>
      <x:c r="E16" s="10" t="str">
        <x:v>용맹</x:v>
      </x:c>
      <x:c r="F16" s="10" t="str">
        <x:v>물리</x:v>
      </x:c>
      <x:c r="G16" s="10" t="str">
        <x:v>연쇄 화살</x:v>
      </x:c>
      <x:c r="H16" s="10" t="str">
        <x:v>기본 공격 4회마다 주변 다른 적에게 연쇄 화살을 발사한다. 같은 공격으로 무한 재발동하지 않는다.</x:v>
      </x:c>
      <x:c r="I16" s="10" t="str">
        <x:v>주변 적이 없으면 연쇄 효과가 사라진다</x:v>
      </x:c>
      <x:c r="J16" s="10" t="str">
        <x:v>과충전 연사</x:v>
      </x:c>
      <x:c r="K16" s="11" t="n">
        <x:v>0</x:v>
      </x:c>
      <x:c r="L16" s="11" t="n">
        <x:v>3</x:v>
      </x:c>
      <x:c r="M16" s="11" t="n">
        <x:v>1</x:v>
      </x:c>
      <x:c r="N16" s="11" t="n">
        <x:v>0</x:v>
      </x:c>
      <x:c r="O16" s="11" t="n">
        <x:v>0</x:v>
      </x:c>
      <x:c r="P16" s="10" t="str">
        <x:v>0_3_1_0_0</x:v>
      </x:c>
      <x:c r="Q16" s="10" t="str">
        <x:v>SK_U3_03100</x:v>
      </x:c>
      <x:c r="R16" s="11" t="n">
        <x:f>SUM(K16:O16)</x:f>
        <x:v>4</x:v>
      </x:c>
    </x:row>
    <x:row r="17" ht="50" customHeight="1">
      <x:c r="A17" s="14" t="str">
        <x:v>U3_03010</x:v>
      </x:c>
      <x:c r="B17" s="14" t="str">
        <x:v>생명추적자</x:v>
      </x:c>
      <x:c r="C17" s="9" t="str">
        <x:v>처치 회복</x:v>
      </x:c>
      <x:c r="D17" s="9" t="str">
        <x:v>자연</x:v>
      </x:c>
      <x:c r="E17" s="9" t="str">
        <x:v>신성</x:v>
      </x:c>
      <x:c r="F17" s="9" t="str">
        <x:v>자연</x:v>
      </x:c>
      <x:c r="G17" s="9" t="str">
        <x:v>생명의 사냥</x:v>
      </x:c>
      <x:c r="H17" s="9" t="str">
        <x:v>표식 대상이 죽으면 가장 다친 아군을 회복한다. 동일 적의 사망으로 한 번만 발동한다.</x:v>
      </x:c>
      <x:c r="I17" s="9" t="str">
        <x:v>보스 단독전에서 회복 발동이 드물다</x:v>
      </x:c>
      <x:c r="J17" s="9" t="str">
        <x:v>자연 순환</x:v>
      </x:c>
      <x:c r="K17" s="12" t="n">
        <x:v>0</x:v>
      </x:c>
      <x:c r="L17" s="12" t="n">
        <x:v>3</x:v>
      </x:c>
      <x:c r="M17" s="12" t="n">
        <x:v>0</x:v>
      </x:c>
      <x:c r="N17" s="12" t="n">
        <x:v>1</x:v>
      </x:c>
      <x:c r="O17" s="12" t="n">
        <x:v>0</x:v>
      </x:c>
      <x:c r="P17" s="9" t="str">
        <x:v>0_3_0_1_0</x:v>
      </x:c>
      <x:c r="Q17" s="9" t="str">
        <x:v>SK_U3_03010</x:v>
      </x:c>
      <x:c r="R17" s="12" t="n">
        <x:f>SUM(K17:O17)</x:f>
        <x:v>4</x:v>
      </x:c>
    </x:row>
    <x:row r="18" ht="50" customHeight="1">
      <x:c r="A18" s="13" t="str">
        <x:v>U3_03001</x:v>
      </x:c>
      <x:c r="B18" s="13" t="str">
        <x:v>혜성궁수</x:v>
      </x:c>
      <x:c r="C18" s="10" t="str">
        <x:v>직선 폭발</x:v>
      </x:c>
      <x:c r="D18" s="10" t="str">
        <x:v>비전</x:v>
      </x:c>
      <x:c r="E18" s="10" t="str">
        <x:v>공학</x:v>
      </x:c>
      <x:c r="F18" s="10" t="str">
        <x:v>화염</x:v>
      </x:c>
      <x:c r="G18" s="10" t="str">
        <x:v>혜성 화살</x:v>
      </x:c>
      <x:c r="H18" s="10" t="str">
        <x:v>직선 화살이 첫 적에게 맞으면 뒤쪽 범위에 화염 폭발을 일으킨다.</x:v>
      </x:c>
      <x:c r="I18" s="10" t="str">
        <x:v>측면으로 퍼진 적에 약하다</x:v>
      </x:c>
      <x:c r="J18" s="10" t="str">
        <x:v>용광로 방어</x:v>
      </x:c>
      <x:c r="K18" s="11" t="n">
        <x:v>0</x:v>
      </x:c>
      <x:c r="L18" s="11" t="n">
        <x:v>3</x:v>
      </x:c>
      <x:c r="M18" s="11" t="n">
        <x:v>0</x:v>
      </x:c>
      <x:c r="N18" s="11" t="n">
        <x:v>0</x:v>
      </x:c>
      <x:c r="O18" s="11" t="n">
        <x:v>1</x:v>
      </x:c>
      <x:c r="P18" s="10" t="str">
        <x:v>0_3_0_0_1</x:v>
      </x:c>
      <x:c r="Q18" s="10" t="str">
        <x:v>SK_U3_03001</x:v>
      </x:c>
      <x:c r="R18" s="11" t="n">
        <x:f>SUM(K18:O18)</x:f>
        <x:v>4</x:v>
      </x:c>
    </x:row>
    <x:row r="19" ht="50" customHeight="1">
      <x:c r="A19" s="14" t="str">
        <x:v>U3_10300</x:v>
      </x:c>
      <x:c r="B19" s="14" t="str">
        <x:v>군단원수</x:v>
      </x:c>
      <x:c r="C19" s="9" t="str">
        <x:v>전방 지원</x:v>
      </x:c>
      <x:c r="D19" s="9" t="str">
        <x:v>궁정</x:v>
      </x:c>
      <x:c r="E19" s="9" t="str">
        <x:v>용맹</x:v>
      </x:c>
      <x:c r="F19" s="9" t="str">
        <x:v>물리</x:v>
      </x:c>
      <x:c r="G19" s="9" t="str">
        <x:v>전열 독려</x:v>
      </x:c>
      <x:c r="H19" s="9" t="str">
        <x:v>자신보다 앞에 배치된 아군의 방어력과 저지 성능을 강화한다.</x:v>
      </x:c>
      <x:c r="I19" s="9" t="str">
        <x:v>후방 공격수의 화력을 높이지 못한다</x:v>
      </x:c>
      <x:c r="J19" s="9" t="str">
        <x:v>궁정 진형</x:v>
      </x:c>
      <x:c r="K19" s="12" t="n">
        <x:v>1</x:v>
      </x:c>
      <x:c r="L19" s="12" t="n">
        <x:v>0</x:v>
      </x:c>
      <x:c r="M19" s="12" t="n">
        <x:v>3</x:v>
      </x:c>
      <x:c r="N19" s="12" t="n">
        <x:v>0</x:v>
      </x:c>
      <x:c r="O19" s="12" t="n">
        <x:v>0</x:v>
      </x:c>
      <x:c r="P19" s="9" t="str">
        <x:v>1_0_3_0_0</x:v>
      </x:c>
      <x:c r="Q19" s="9" t="str">
        <x:v>SK_U3_10300</x:v>
      </x:c>
      <x:c r="R19" s="12" t="n">
        <x:f>SUM(K19:O19)</x:f>
        <x:v>4</x:v>
      </x:c>
    </x:row>
    <x:row r="20" ht="50" customHeight="1">
      <x:c r="A20" s="13" t="str">
        <x:v>U3_01300</x:v>
      </x:c>
      <x:c r="B20" s="13" t="str">
        <x:v>왕실악장</x:v>
      </x:c>
      <x:c r="C20" s="10" t="str">
        <x:v>원거리 집중 지원</x:v>
      </x:c>
      <x:c r="D20" s="10" t="str">
        <x:v>궁정</x:v>
      </x:c>
      <x:c r="E20" s="10" t="str">
        <x:v>자연</x:v>
      </x:c>
      <x:c r="F20" s="10" t="str">
        <x:v>물리</x:v>
      </x:c>
      <x:c r="G20" s="10" t="str">
        <x:v>왕실 행진곡</x:v>
      </x:c>
      <x:c r="H20" s="10" t="str">
        <x:v>가장 가까운 원거리 아군에게 강화 효과를 집중하고 대상이 쓰러지면 다른 원거리 아군을 선택한다.</x:v>
      </x:c>
      <x:c r="I20" s="10" t="str">
        <x:v>지원 대상 하나에 의존한다</x:v>
      </x:c>
      <x:c r="J20" s="10" t="str">
        <x:v>과충전 연사</x:v>
      </x:c>
      <x:c r="K20" s="11" t="n">
        <x:v>0</x:v>
      </x:c>
      <x:c r="L20" s="11" t="n">
        <x:v>1</x:v>
      </x:c>
      <x:c r="M20" s="11" t="n">
        <x:v>3</x:v>
      </x:c>
      <x:c r="N20" s="11" t="n">
        <x:v>0</x:v>
      </x:c>
      <x:c r="O20" s="11" t="n">
        <x:v>0</x:v>
      </x:c>
      <x:c r="P20" s="10" t="str">
        <x:v>0_1_3_0_0</x:v>
      </x:c>
      <x:c r="Q20" s="10" t="str">
        <x:v>SK_U3_01300</x:v>
      </x:c>
      <x:c r="R20" s="11" t="n">
        <x:f>SUM(K20:O20)</x:f>
        <x:v>4</x:v>
      </x:c>
    </x:row>
    <x:row r="21" ht="50" customHeight="1">
      <x:c r="A21" s="14" t="str">
        <x:v>U3_00310</x:v>
      </x:c>
      <x:c r="B21" s="14" t="str">
        <x:v>축복전도사</x:v>
      </x:c>
      <x:c r="C21" s="9" t="str">
        <x:v>강화 연장</x:v>
      </x:c>
      <x:c r="D21" s="9" t="str">
        <x:v>신성</x:v>
      </x:c>
      <x:c r="E21" s="9" t="str">
        <x:v>궁정</x:v>
      </x:c>
      <x:c r="F21" s="9" t="str">
        <x:v>신성</x:v>
      </x:c>
      <x:c r="G21" s="9" t="str">
        <x:v>축복의 연장</x:v>
      </x:c>
      <x:c r="H21" s="9" t="str">
        <x:v>주변 아군이 보유한 시간제 강화 효과의 지속시간을 늘린다. 연장 한도와 갱신 간격을 둔다.</x:v>
      </x:c>
      <x:c r="I21" s="9" t="str">
        <x:v>시간제 강화를 쓰지 않는 편성에 약하다</x:v>
      </x:c>
      <x:c r="J21" s="9" t="str">
        <x:v>성역 유지</x:v>
      </x:c>
      <x:c r="K21" s="12" t="n">
        <x:v>0</x:v>
      </x:c>
      <x:c r="L21" s="12" t="n">
        <x:v>0</x:v>
      </x:c>
      <x:c r="M21" s="12" t="n">
        <x:v>3</x:v>
      </x:c>
      <x:c r="N21" s="12" t="n">
        <x:v>1</x:v>
      </x:c>
      <x:c r="O21" s="12" t="n">
        <x:v>0</x:v>
      </x:c>
      <x:c r="P21" s="9" t="str">
        <x:v>0_0_3_1_0</x:v>
      </x:c>
      <x:c r="Q21" s="9" t="str">
        <x:v>SK_U3_00310</x:v>
      </x:c>
      <x:c r="R21" s="12" t="n">
        <x:f>SUM(K21:O21)</x:f>
        <x:v>4</x:v>
      </x:c>
    </x:row>
    <x:row r="22" ht="50" customHeight="1">
      <x:c r="A22" s="13" t="str">
        <x:v>U3_00301</x:v>
      </x:c>
      <x:c r="B22" s="13" t="str">
        <x:v>룬설계자</x:v>
      </x:c>
      <x:c r="C22" s="10" t="str">
        <x:v>약점 공략 지원</x:v>
      </x:c>
      <x:c r="D22" s="10" t="str">
        <x:v>비전</x:v>
      </x:c>
      <x:c r="E22" s="10" t="str">
        <x:v>공학</x:v>
      </x:c>
      <x:c r="F22" s="10" t="str">
        <x:v>번개</x:v>
      </x:c>
      <x:c r="G22" s="10" t="str">
        <x:v>분석 룬</x:v>
      </x:c>
      <x:c r="H22" s="10" t="str">
        <x:v>주변 아군이 몬스터 약점속성을 맞혔을 때 추가 피해를 준다. 추가 피해는 다시 발동 조건이 되지 않는다.</x:v>
      </x:c>
      <x:c r="I22" s="10" t="str">
        <x:v>약점이 맞지 않으면 지원 효과가 줄어든다</x:v>
      </x:c>
      <x:c r="J22" s="10" t="str">
        <x:v>약점 분석</x:v>
      </x:c>
      <x:c r="K22" s="11" t="n">
        <x:v>0</x:v>
      </x:c>
      <x:c r="L22" s="11" t="n">
        <x:v>0</x:v>
      </x:c>
      <x:c r="M22" s="11" t="n">
        <x:v>3</x:v>
      </x:c>
      <x:c r="N22" s="11" t="n">
        <x:v>0</x:v>
      </x:c>
      <x:c r="O22" s="11" t="n">
        <x:v>1</x:v>
      </x:c>
      <x:c r="P22" s="10" t="str">
        <x:v>0_0_3_0_1</x:v>
      </x:c>
      <x:c r="Q22" s="10" t="str">
        <x:v>SK_U3_00301</x:v>
      </x:c>
      <x:c r="R22" s="11" t="n">
        <x:f>SUM(K22:O22)</x:f>
        <x:v>4</x:v>
      </x:c>
    </x:row>
    <x:row r="23" ht="50" customHeight="1">
      <x:c r="A23" s="14" t="str">
        <x:v>U3_10030</x:v>
      </x:c>
      <x:c r="B23" s="14" t="str">
        <x:v>구호기사</x:v>
      </x:c>
      <x:c r="C23" s="9" t="str">
        <x:v>응급 보호</x:v>
      </x:c>
      <x:c r="D23" s="9" t="str">
        <x:v>신성</x:v>
      </x:c>
      <x:c r="E23" s="9" t="str">
        <x:v>궁정</x:v>
      </x:c>
      <x:c r="F23" s="9" t="str">
        <x:v>신성</x:v>
      </x:c>
      <x:c r="G23" s="9" t="str">
        <x:v>구호 행군</x:v>
      </x:c>
      <x:c r="H23" s="9" t="str">
        <x:v>가장 다친 전방 아군을 회복하고 짧은 보호막을 부여한다.</x:v>
      </x:c>
      <x:c r="I23" s="9" t="str">
        <x:v>후방 위협에 대응하기 어렵다</x:v>
      </x:c>
      <x:c r="J23" s="9" t="str">
        <x:v>성역 유지</x:v>
      </x:c>
      <x:c r="K23" s="12" t="n">
        <x:v>1</x:v>
      </x:c>
      <x:c r="L23" s="12" t="n">
        <x:v>0</x:v>
      </x:c>
      <x:c r="M23" s="12" t="n">
        <x:v>0</x:v>
      </x:c>
      <x:c r="N23" s="12" t="n">
        <x:v>3</x:v>
      </x:c>
      <x:c r="O23" s="12" t="n">
        <x:v>0</x:v>
      </x:c>
      <x:c r="P23" s="9" t="str">
        <x:v>1_0_0_3_0</x:v>
      </x:c>
      <x:c r="Q23" s="9" t="str">
        <x:v>SK_U3_10030</x:v>
      </x:c>
      <x:c r="R23" s="12" t="n">
        <x:f>SUM(K23:O23)</x:f>
        <x:v>4</x:v>
      </x:c>
    </x:row>
    <x:row r="24" ht="50" customHeight="1">
      <x:c r="A24" s="13" t="str">
        <x:v>U3_01030</x:v>
      </x:c>
      <x:c r="B24" s="13" t="str">
        <x:v>숲의 순례자</x:v>
      </x:c>
      <x:c r="C24" s="10" t="str">
        <x:v>표식 회복</x:v>
      </x:c>
      <x:c r="D24" s="10" t="str">
        <x:v>자연</x:v>
      </x:c>
      <x:c r="E24" s="10" t="str">
        <x:v>신성</x:v>
      </x:c>
      <x:c r="F24" s="10" t="str">
        <x:v>자연</x:v>
      </x:c>
      <x:c r="G24" s="10" t="str">
        <x:v>순례의 씨앗</x:v>
      </x:c>
      <x:c r="H24" s="10" t="str">
        <x:v>공격한 적에 씨앗을 남기고 그 적이 이동한 경로에 아군 회복 지대를 만든다.</x:v>
      </x:c>
      <x:c r="I24" s="10" t="str">
        <x:v>적의 경로와 아군 배치가 떨어져 있으면 약하다</x:v>
      </x:c>
      <x:c r="J24" s="10" t="str">
        <x:v>자연 순환</x:v>
      </x:c>
      <x:c r="K24" s="11" t="n">
        <x:v>0</x:v>
      </x:c>
      <x:c r="L24" s="11" t="n">
        <x:v>1</x:v>
      </x:c>
      <x:c r="M24" s="11" t="n">
        <x:v>0</x:v>
      </x:c>
      <x:c r="N24" s="11" t="n">
        <x:v>3</x:v>
      </x:c>
      <x:c r="O24" s="11" t="n">
        <x:v>0</x:v>
      </x:c>
      <x:c r="P24" s="10" t="str">
        <x:v>0_1_0_3_0</x:v>
      </x:c>
      <x:c r="Q24" s="10" t="str">
        <x:v>SK_U3_01030</x:v>
      </x:c>
      <x:c r="R24" s="11" t="n">
        <x:f>SUM(K24:O24)</x:f>
        <x:v>4</x:v>
      </x:c>
    </x:row>
    <x:row r="25" ht="50" customHeight="1">
      <x:c r="A25" s="14" t="str">
        <x:v>U3_00130</x:v>
      </x:c>
      <x:c r="B25" s="14" t="str">
        <x:v>성가대장</x:v>
      </x:c>
      <x:c r="C25" s="9" t="str">
        <x:v>회복 증폭</x:v>
      </x:c>
      <x:c r="D25" s="9" t="str">
        <x:v>신성</x:v>
      </x:c>
      <x:c r="E25" s="9" t="str">
        <x:v>궁정</x:v>
      </x:c>
      <x:c r="F25" s="9" t="str">
        <x:v>신성</x:v>
      </x:c>
      <x:c r="G25" s="9" t="str">
        <x:v>성가 합창</x:v>
      </x:c>
      <x:c r="H25" s="9" t="str">
        <x:v>주변 아군이 받는 회복량을 늘리고 일정 주기로 작은 회복을 제공한다.</x:v>
      </x:c>
      <x:c r="I25" s="9" t="str">
        <x:v>회복 감소 효과에 취약하다</x:v>
      </x:c>
      <x:c r="J25" s="9" t="str">
        <x:v>성역 유지</x:v>
      </x:c>
      <x:c r="K25" s="12" t="n">
        <x:v>0</x:v>
      </x:c>
      <x:c r="L25" s="12" t="n">
        <x:v>0</x:v>
      </x:c>
      <x:c r="M25" s="12" t="n">
        <x:v>1</x:v>
      </x:c>
      <x:c r="N25" s="12" t="n">
        <x:v>3</x:v>
      </x:c>
      <x:c r="O25" s="12" t="n">
        <x:v>0</x:v>
      </x:c>
      <x:c r="P25" s="9" t="str">
        <x:v>0_0_1_3_0</x:v>
      </x:c>
      <x:c r="Q25" s="9" t="str">
        <x:v>SK_U3_00130</x:v>
      </x:c>
      <x:c r="R25" s="12" t="n">
        <x:f>SUM(K25:O25)</x:f>
        <x:v>4</x:v>
      </x:c>
    </x:row>
    <x:row r="26" ht="50" customHeight="1">
      <x:c r="A26" s="13" t="str">
        <x:v>U3_00031</x:v>
      </x:c>
      <x:c r="B26" s="13" t="str">
        <x:v>설원의 성자</x:v>
      </x:c>
      <x:c r="C26" s="10" t="str">
        <x:v>회복 지대</x:v>
      </x:c>
      <x:c r="D26" s="10" t="str">
        <x:v>북방</x:v>
      </x:c>
      <x:c r="E26" s="10" t="str">
        <x:v>신성</x:v>
      </x:c>
      <x:c r="F26" s="10" t="str">
        <x:v>냉기</x:v>
      </x:c>
      <x:c r="G26" s="10" t="str">
        <x:v>눈꽃 성역</x:v>
      </x:c>
      <x:c r="H26" s="10" t="str">
        <x:v>고정 지대에서 아군을 지속 회복하고 진입한 적을 둔화시킨다.</x:v>
      </x:c>
      <x:c r="I26" s="10" t="str">
        <x:v>지대 밖 전투 지원이 약하다</x:v>
      </x:c>
      <x:c r="J26" s="10" t="str">
        <x:v>빙결 포격</x:v>
      </x:c>
      <x:c r="K26" s="11" t="n">
        <x:v>0</x:v>
      </x:c>
      <x:c r="L26" s="11" t="n">
        <x:v>0</x:v>
      </x:c>
      <x:c r="M26" s="11" t="n">
        <x:v>0</x:v>
      </x:c>
      <x:c r="N26" s="11" t="n">
        <x:v>3</x:v>
      </x:c>
      <x:c r="O26" s="11" t="n">
        <x:v>1</x:v>
      </x:c>
      <x:c r="P26" s="10" t="str">
        <x:v>0_0_0_3_1</x:v>
      </x:c>
      <x:c r="Q26" s="10" t="str">
        <x:v>SK_U3_00031</x:v>
      </x:c>
      <x:c r="R26" s="11" t="n">
        <x:f>SUM(K26:O26)</x:f>
        <x:v>4</x:v>
      </x:c>
    </x:row>
    <x:row r="27" ht="50" customHeight="1">
      <x:c r="A27" s="14" t="str">
        <x:v>U3_10003</x:v>
      </x:c>
      <x:c r="B27" s="14" t="str">
        <x:v>화산수호자</x:v>
      </x:c>
      <x:c r="C27" s="9" t="str">
        <x:v>근접 폭발</x:v>
      </x:c>
      <x:c r="D27" s="9" t="str">
        <x:v>공학</x:v>
      </x:c>
      <x:c r="E27" s="9" t="str">
        <x:v>용맹</x:v>
      </x:c>
      <x:c r="F27" s="9" t="str">
        <x:v>화염</x:v>
      </x:c>
      <x:c r="G27" s="9" t="str">
        <x:v>분출</x:v>
      </x:c>
      <x:c r="H27" s="9" t="str">
        <x:v>근접 적을 공격해 균열을 만들고 잠시 뒤 균열 위 적들에게 폭발 피해를 준다.</x:v>
      </x:c>
      <x:c r="I27" s="9" t="str">
        <x:v>빠르게 지나가는 적을 놓치기 쉽다</x:v>
      </x:c>
      <x:c r="J27" s="9" t="str">
        <x:v>용광로 방어</x:v>
      </x:c>
      <x:c r="K27" s="12" t="n">
        <x:v>1</x:v>
      </x:c>
      <x:c r="L27" s="12" t="n">
        <x:v>0</x:v>
      </x:c>
      <x:c r="M27" s="12" t="n">
        <x:v>0</x:v>
      </x:c>
      <x:c r="N27" s="12" t="n">
        <x:v>0</x:v>
      </x:c>
      <x:c r="O27" s="12" t="n">
        <x:v>3</x:v>
      </x:c>
      <x:c r="P27" s="9" t="str">
        <x:v>1_0_0_0_3</x:v>
      </x:c>
      <x:c r="Q27" s="9" t="str">
        <x:v>SK_U3_10003</x:v>
      </x:c>
      <x:c r="R27" s="12" t="n">
        <x:f>SUM(K27:O27)</x:f>
        <x:v>4</x:v>
      </x:c>
    </x:row>
    <x:row r="28" ht="50" customHeight="1">
      <x:c r="A28" s="13" t="str">
        <x:v>U3_01003</x:v>
      </x:c>
      <x:c r="B28" s="13" t="str">
        <x:v>천뢰저격수</x:v>
      </x:c>
      <x:c r="C28" s="10" t="str">
        <x:v>속성 저격</x:v>
      </x:c>
      <x:c r="D28" s="10" t="str">
        <x:v>비전</x:v>
      </x:c>
      <x:c r="E28" s="10" t="str">
        <x:v>공학</x:v>
      </x:c>
      <x:c r="F28" s="10" t="str">
        <x:v>번개</x:v>
      </x:c>
      <x:c r="G28" s="10" t="str">
        <x:v>낙뢰 조준</x:v>
      </x:c>
      <x:c r="H28" s="10" t="str">
        <x:v>사거리 안에서 체력이 가장 높은 적을 조준해 번개를 떨어뜨린다.</x:v>
      </x:c>
      <x:c r="I28" s="10" t="str">
        <x:v>공격 대상이 자주 사라지는 무리전에 약하다</x:v>
      </x:c>
      <x:c r="J28" s="10" t="str">
        <x:v>약점 분석</x:v>
      </x:c>
      <x:c r="K28" s="11" t="n">
        <x:v>0</x:v>
      </x:c>
      <x:c r="L28" s="11" t="n">
        <x:v>1</x:v>
      </x:c>
      <x:c r="M28" s="11" t="n">
        <x:v>0</x:v>
      </x:c>
      <x:c r="N28" s="11" t="n">
        <x:v>0</x:v>
      </x:c>
      <x:c r="O28" s="11" t="n">
        <x:v>3</x:v>
      </x:c>
      <x:c r="P28" s="10" t="str">
        <x:v>0_1_0_0_3</x:v>
      </x:c>
      <x:c r="Q28" s="10" t="str">
        <x:v>SK_U3_01003</x:v>
      </x:c>
      <x:c r="R28" s="11" t="n">
        <x:f>SUM(K28:O28)</x:f>
        <x:v>4</x:v>
      </x:c>
    </x:row>
    <x:row r="29" ht="50" customHeight="1">
      <x:c r="A29" s="14" t="str">
        <x:v>U3_00103</x:v>
      </x:c>
      <x:c r="B29" s="14" t="str">
        <x:v>별의 점성가</x:v>
      </x:c>
      <x:c r="C29" s="9" t="str">
        <x:v>마법 지원</x:v>
      </x:c>
      <x:c r="D29" s="9" t="str">
        <x:v>비전</x:v>
      </x:c>
      <x:c r="E29" s="9" t="str">
        <x:v>궁정</x:v>
      </x:c>
      <x:c r="F29" s="9" t="str">
        <x:v>암흑</x:v>
      </x:c>
      <x:c r="G29" s="9" t="str">
        <x:v>별자리 연결</x:v>
      </x:c>
      <x:c r="H29" s="9" t="str">
        <x:v>가장 가까운 비전 아군과 연결해 그 아군이 능력을 발동하면 작은 범위 추가 공격을 한다. 연쇄 발동은 금지한다.</x:v>
      </x:c>
      <x:c r="I29" s="9" t="str">
        <x:v>연결할 비전 아군이 없으면 효율이 낮다</x:v>
      </x:c>
      <x:c r="J29" s="9" t="str">
        <x:v>빙결 포격</x:v>
      </x:c>
      <x:c r="K29" s="12" t="n">
        <x:v>0</x:v>
      </x:c>
      <x:c r="L29" s="12" t="n">
        <x:v>0</x:v>
      </x:c>
      <x:c r="M29" s="12" t="n">
        <x:v>1</x:v>
      </x:c>
      <x:c r="N29" s="12" t="n">
        <x:v>0</x:v>
      </x:c>
      <x:c r="O29" s="12" t="n">
        <x:v>3</x:v>
      </x:c>
      <x:c r="P29" s="9" t="str">
        <x:v>0_0_1_0_3</x:v>
      </x:c>
      <x:c r="Q29" s="9" t="str">
        <x:v>SK_U3_00103</x:v>
      </x:c>
      <x:c r="R29" s="12" t="n">
        <x:f>SUM(K29:O29)</x:f>
        <x:v>4</x:v>
      </x:c>
    </x:row>
    <x:row r="30" ht="50" customHeight="1">
      <x:c r="A30" s="13" t="str">
        <x:v>U3_00013</x:v>
      </x:c>
      <x:c r="B30" s="13" t="str">
        <x:v>백야현자</x:v>
      </x:c>
      <x:c r="C30" s="10" t="str">
        <x:v>둔화 폭발</x:v>
      </x:c>
      <x:c r="D30" s="10" t="str">
        <x:v>북방</x:v>
      </x:c>
      <x:c r="E30" s="10" t="str">
        <x:v>비전</x:v>
      </x:c>
      <x:c r="F30" s="10" t="str">
        <x:v>냉기</x:v>
      </x:c>
      <x:c r="G30" s="10" t="str">
        <x:v>백야 폭풍</x:v>
      </x:c>
      <x:c r="H30" s="10" t="str">
        <x:v>적에게 냉기 피해를 주고 둔화된 적에게는 둔화 중첩을 추가한다. 보스는 둔화 상한이 낮다.</x:v>
      </x:c>
      <x:c r="I30" s="10" t="str">
        <x:v>제어 면역 적에게 추가 효과가 없다</x:v>
      </x:c>
      <x:c r="J30" s="10" t="str">
        <x:v>빙결 포격</x:v>
      </x:c>
      <x:c r="K30" s="11" t="n">
        <x:v>0</x:v>
      </x:c>
      <x:c r="L30" s="11" t="n">
        <x:v>0</x:v>
      </x:c>
      <x:c r="M30" s="11" t="n">
        <x:v>0</x:v>
      </x:c>
      <x:c r="N30" s="11" t="n">
        <x:v>1</x:v>
      </x:c>
      <x:c r="O30" s="11" t="n">
        <x:v>3</x:v>
      </x:c>
      <x:c r="P30" s="10" t="str">
        <x:v>0_0_0_1_3</x:v>
      </x:c>
      <x:c r="Q30" s="10" t="str">
        <x:v>SK_U3_00013</x:v>
      </x:c>
      <x:c r="R30" s="11" t="n">
        <x:f>SUM(K30:O30)</x:f>
        <x:v>4</x:v>
      </x:c>
    </x:row>
    <x:row r="31" ht="50" customHeight="1">
      <x:c r="A31" s="14" t="str">
        <x:v>U3_22000</x:v>
      </x:c>
      <x:c r="B31" s="14" t="str">
        <x:v>성채석궁장</x:v>
      </x:c>
      <x:c r="C31" s="9" t="str">
        <x:v>방어 관통</x:v>
      </x:c>
      <x:c r="D31" s="9" t="str">
        <x:v>궁정</x:v>
      </x:c>
      <x:c r="E31" s="9" t="str">
        <x:v>공학</x:v>
      </x:c>
      <x:c r="F31" s="9" t="str">
        <x:v>물리</x:v>
      </x:c>
      <x:c r="G31" s="9" t="str">
        <x:v>성채 관통포</x:v>
      </x:c>
      <x:c r="H31" s="9" t="str">
        <x:v>자신의 보호막이 유지되는 동안 탄환이 추가 적을 관통한다.</x:v>
      </x:c>
      <x:c r="I31" s="9" t="str">
        <x:v>보호막을 잃으면 다중 공격력이 감소한다</x:v>
      </x:c>
      <x:c r="J31" s="9" t="str">
        <x:v>철벽 사격</x:v>
      </x:c>
      <x:c r="K31" s="12" t="n">
        <x:v>2</x:v>
      </x:c>
      <x:c r="L31" s="12" t="n">
        <x:v>2</x:v>
      </x:c>
      <x:c r="M31" s="12" t="n">
        <x:v>0</x:v>
      </x:c>
      <x:c r="N31" s="12" t="n">
        <x:v>0</x:v>
      </x:c>
      <x:c r="O31" s="12" t="n">
        <x:v>0</x:v>
      </x:c>
      <x:c r="P31" s="9" t="str">
        <x:v>2_2_0_0_0</x:v>
      </x:c>
      <x:c r="Q31" s="9" t="str">
        <x:v>SK_U3_22000</x:v>
      </x:c>
      <x:c r="R31" s="12" t="n">
        <x:f>SUM(K31:O31)</x:f>
        <x:v>4</x:v>
      </x:c>
    </x:row>
    <x:row r="32" ht="50" customHeight="1">
      <x:c r="A32" s="13" t="str">
        <x:v>U3_20200</x:v>
      </x:c>
      <x:c r="B32" s="13" t="str">
        <x:v>전장의 원수</x:v>
      </x:c>
      <x:c r="C32" s="10" t="str">
        <x:v>전열 보호</x:v>
      </x:c>
      <x:c r="D32" s="10" t="str">
        <x:v>궁정</x:v>
      </x:c>
      <x:c r="E32" s="10" t="str">
        <x:v>용맹</x:v>
      </x:c>
      <x:c r="F32" s="10" t="str">
        <x:v>물리</x:v>
      </x:c>
      <x:c r="G32" s="10" t="str">
        <x:v>전선 유지</x:v>
      </x:c>
      <x:c r="H32" s="10" t="str">
        <x:v>주변 아군에게 보호막을 주고 자신의 뒤쪽 아군에게 밀치기 저항을 부여한다.</x:v>
      </x:c>
      <x:c r="I32" s="10" t="str">
        <x:v>배치가 흩어지면 지원 범위가 부족하다</x:v>
      </x:c>
      <x:c r="J32" s="10" t="str">
        <x:v>관통 사격</x:v>
      </x:c>
      <x:c r="K32" s="11" t="n">
        <x:v>2</x:v>
      </x:c>
      <x:c r="L32" s="11" t="n">
        <x:v>0</x:v>
      </x:c>
      <x:c r="M32" s="11" t="n">
        <x:v>2</x:v>
      </x:c>
      <x:c r="N32" s="11" t="n">
        <x:v>0</x:v>
      </x:c>
      <x:c r="O32" s="11" t="n">
        <x:v>0</x:v>
      </x:c>
      <x:c r="P32" s="10" t="str">
        <x:v>2_0_2_0_0</x:v>
      </x:c>
      <x:c r="Q32" s="10" t="str">
        <x:v>SK_U3_20200</x:v>
      </x:c>
      <x:c r="R32" s="11" t="n">
        <x:f>SUM(K32:O32)</x:f>
        <x:v>4</x:v>
      </x:c>
    </x:row>
    <x:row r="33" ht="50" customHeight="1">
      <x:c r="A33" s="14" t="str">
        <x:v>U3_20020</x:v>
      </x:c>
      <x:c r="B33" s="14" t="str">
        <x:v>성역기사</x:v>
      </x:c>
      <x:c r="C33" s="9" t="str">
        <x:v>회복 저지</x:v>
      </x:c>
      <x:c r="D33" s="9" t="str">
        <x:v>신성</x:v>
      </x:c>
      <x:c r="E33" s="9" t="str">
        <x:v>궁정</x:v>
      </x:c>
      <x:c r="F33" s="9" t="str">
        <x:v>신성</x:v>
      </x:c>
      <x:c r="G33" s="9" t="str">
        <x:v>대성역</x:v>
      </x:c>
      <x:c r="H33" s="9" t="str">
        <x:v>자신 주변에 회복 지대를 유지한다. 다른 동일 스킬 지대의 회복은 중첩되지 않는다.</x:v>
      </x:c>
      <x:c r="I33" s="9" t="str">
        <x:v>회복 감소와 큰 단일 피해에 약하다</x:v>
      </x:c>
      <x:c r="J33" s="9" t="str">
        <x:v>성역 유지</x:v>
      </x:c>
      <x:c r="K33" s="12" t="n">
        <x:v>2</x:v>
      </x:c>
      <x:c r="L33" s="12" t="n">
        <x:v>0</x:v>
      </x:c>
      <x:c r="M33" s="12" t="n">
        <x:v>0</x:v>
      </x:c>
      <x:c r="N33" s="12" t="n">
        <x:v>2</x:v>
      </x:c>
      <x:c r="O33" s="12" t="n">
        <x:v>0</x:v>
      </x:c>
      <x:c r="P33" s="9" t="str">
        <x:v>2_0_0_2_0</x:v>
      </x:c>
      <x:c r="Q33" s="9" t="str">
        <x:v>SK_U3_20020</x:v>
      </x:c>
      <x:c r="R33" s="12" t="n">
        <x:f>SUM(K33:O33)</x:f>
        <x:v>4</x:v>
      </x:c>
    </x:row>
    <x:row r="34" ht="50" customHeight="1">
      <x:c r="A34" s="13" t="str">
        <x:v>U3_20002</x:v>
      </x:c>
      <x:c r="B34" s="13" t="str">
        <x:v>룬수호자</x:v>
      </x:c>
      <x:c r="C34" s="10" t="str">
        <x:v>마법 표식 저지</x:v>
      </x:c>
      <x:c r="D34" s="10" t="str">
        <x:v>비전</x:v>
      </x:c>
      <x:c r="E34" s="10" t="str">
        <x:v>용맹</x:v>
      </x:c>
      <x:c r="F34" s="10" t="str">
        <x:v>화염</x:v>
      </x:c>
      <x:c r="G34" s="10" t="str">
        <x:v>룬 각인</x:v>
      </x:c>
      <x:c r="H34" s="10" t="str">
        <x:v>저지한 적에게 비전 표식을 남긴다. 표식은 대현자의 추가 피해 조건이 된다.</x:v>
      </x:c>
      <x:c r="I34" s="10" t="str">
        <x:v>원거리 적과 우회 적에게 표식을 남기기 어렵다</x:v>
      </x:c>
      <x:c r="J34" s="10" t="str">
        <x:v>빙결 포격</x:v>
      </x:c>
      <x:c r="K34" s="11" t="n">
        <x:v>2</x:v>
      </x:c>
      <x:c r="L34" s="11" t="n">
        <x:v>0</x:v>
      </x:c>
      <x:c r="M34" s="11" t="n">
        <x:v>0</x:v>
      </x:c>
      <x:c r="N34" s="11" t="n">
        <x:v>0</x:v>
      </x:c>
      <x:c r="O34" s="11" t="n">
        <x:v>2</x:v>
      </x:c>
      <x:c r="P34" s="10" t="str">
        <x:v>2_0_0_0_2</x:v>
      </x:c>
      <x:c r="Q34" s="10" t="str">
        <x:v>SK_U3_20002</x:v>
      </x:c>
      <x:c r="R34" s="11" t="n">
        <x:f>SUM(K34:O34)</x:f>
        <x:v>4</x:v>
      </x:c>
    </x:row>
    <x:row r="35" ht="50" customHeight="1">
      <x:c r="A35" s="14" t="str">
        <x:v>U3_02200</x:v>
      </x:c>
      <x:c r="B35" s="14" t="str">
        <x:v>포격지휘관</x:v>
      </x:c>
      <x:c r="C35" s="9" t="str">
        <x:v>진지 사격</x:v>
      </x:c>
      <x:c r="D35" s="9" t="str">
        <x:v>궁정</x:v>
      </x:c>
      <x:c r="E35" s="9" t="str">
        <x:v>용맹</x:v>
      </x:c>
      <x:c r="F35" s="9" t="str">
        <x:v>물리</x:v>
      </x:c>
      <x:c r="G35" s="9" t="str">
        <x:v>고정 포대</x:v>
      </x:c>
      <x:c r="H35" s="9" t="str">
        <x:v>같은 위치에서 공격할수록 사격 피해가 증가한다. 강제 이동 시 중첩이 초기화된다.</x:v>
      </x:c>
      <x:c r="I35" s="9" t="str">
        <x:v>강제 이동과 후방 교란에 약하다</x:v>
      </x:c>
      <x:c r="J35" s="9" t="str">
        <x:v>철벽 사격</x:v>
      </x:c>
      <x:c r="K35" s="12" t="n">
        <x:v>0</x:v>
      </x:c>
      <x:c r="L35" s="12" t="n">
        <x:v>2</x:v>
      </x:c>
      <x:c r="M35" s="12" t="n">
        <x:v>2</x:v>
      </x:c>
      <x:c r="N35" s="12" t="n">
        <x:v>0</x:v>
      </x:c>
      <x:c r="O35" s="12" t="n">
        <x:v>0</x:v>
      </x:c>
      <x:c r="P35" s="9" t="str">
        <x:v>0_2_2_0_0</x:v>
      </x:c>
      <x:c r="Q35" s="9" t="str">
        <x:v>SK_U3_02200</x:v>
      </x:c>
      <x:c r="R35" s="12" t="n">
        <x:f>SUM(K35:O35)</x:f>
        <x:v>4</x:v>
      </x:c>
    </x:row>
    <x:row r="36" ht="50" customHeight="1">
      <x:c r="A36" s="13" t="str">
        <x:v>U3_02020</x:v>
      </x:c>
      <x:c r="B36" s="13" t="str">
        <x:v>생명궁성</x:v>
      </x:c>
      <x:c r="C36" s="10" t="str">
        <x:v>흡수 회복</x:v>
      </x:c>
      <x:c r="D36" s="10" t="str">
        <x:v>자연</x:v>
      </x:c>
      <x:c r="E36" s="10" t="str">
        <x:v>신성</x:v>
      </x:c>
      <x:c r="F36" s="10" t="str">
        <x:v>자연</x:v>
      </x:c>
      <x:c r="G36" s="10" t="str">
        <x:v>생명 연결</x:v>
      </x:c>
      <x:c r="H36" s="10" t="str">
        <x:v>표식 대상에게 준 직접 피해의 일부로 가장 다친 아군을 회복한다. 지속 피해는 발동시키지 않는다.</x:v>
      </x:c>
      <x:c r="I36" s="10" t="str">
        <x:v>피해가 막히면 회복량도 줄어든다</x:v>
      </x:c>
      <x:c r="J36" s="10" t="str">
        <x:v>자연 순환</x:v>
      </x:c>
      <x:c r="K36" s="11" t="n">
        <x:v>0</x:v>
      </x:c>
      <x:c r="L36" s="11" t="n">
        <x:v>2</x:v>
      </x:c>
      <x:c r="M36" s="11" t="n">
        <x:v>0</x:v>
      </x:c>
      <x:c r="N36" s="11" t="n">
        <x:v>2</x:v>
      </x:c>
      <x:c r="O36" s="11" t="n">
        <x:v>0</x:v>
      </x:c>
      <x:c r="P36" s="10" t="str">
        <x:v>0_2_0_2_0</x:v>
      </x:c>
      <x:c r="Q36" s="10" t="str">
        <x:v>SK_U3_02020</x:v>
      </x:c>
      <x:c r="R36" s="11" t="n">
        <x:f>SUM(K36:O36)</x:f>
        <x:v>4</x:v>
      </x:c>
    </x:row>
    <x:row r="37" ht="50" customHeight="1">
      <x:c r="A37" s="14" t="str">
        <x:v>U3_02002</x:v>
      </x:c>
      <x:c r="B37" s="14" t="str">
        <x:v>마도저격수</x:v>
      </x:c>
      <x:c r="C37" s="9" t="str">
        <x:v>직선 관통</x:v>
      </x:c>
      <x:c r="D37" s="9" t="str">
        <x:v>비전</x:v>
      </x:c>
      <x:c r="E37" s="9" t="str">
        <x:v>공학</x:v>
      </x:c>
      <x:c r="F37" s="9" t="str">
        <x:v>번개</x:v>
      </x:c>
      <x:c r="G37" s="9" t="str">
        <x:v>가속 관통탄</x:v>
      </x:c>
      <x:c r="H37" s="9" t="str">
        <x:v>탄환이 적을 관통할 때마다 다음 적에게 주는 피해가 증가한다. 탄환별 상한을 둔다.</x:v>
      </x:c>
      <x:c r="I37" s="9" t="str">
        <x:v>단일 보스전과 흩어진 적에게 약하다</x:v>
      </x:c>
      <x:c r="J37" s="9" t="str">
        <x:v>관통 사격</x:v>
      </x:c>
      <x:c r="K37" s="12" t="n">
        <x:v>0</x:v>
      </x:c>
      <x:c r="L37" s="12" t="n">
        <x:v>2</x:v>
      </x:c>
      <x:c r="M37" s="12" t="n">
        <x:v>0</x:v>
      </x:c>
      <x:c r="N37" s="12" t="n">
        <x:v>0</x:v>
      </x:c>
      <x:c r="O37" s="12" t="n">
        <x:v>2</x:v>
      </x:c>
      <x:c r="P37" s="9" t="str">
        <x:v>0_2_0_0_2</x:v>
      </x:c>
      <x:c r="Q37" s="9" t="str">
        <x:v>SK_U3_02002</x:v>
      </x:c>
      <x:c r="R37" s="12" t="n">
        <x:f>SUM(K37:O37)</x:f>
        <x:v>4</x:v>
      </x:c>
    </x:row>
    <x:row r="38" ht="50" customHeight="1">
      <x:c r="A38" s="13" t="str">
        <x:v>U3_00220</x:v>
      </x:c>
      <x:c r="B38" s="13" t="str">
        <x:v>축복사제</x:v>
      </x:c>
      <x:c r="C38" s="10" t="str">
        <x:v>초과 회복 보호</x:v>
      </x:c>
      <x:c r="D38" s="10" t="str">
        <x:v>신성</x:v>
      </x:c>
      <x:c r="E38" s="10" t="str">
        <x:v>궁정</x:v>
      </x:c>
      <x:c r="F38" s="10" t="str">
        <x:v>신성</x:v>
      </x:c>
      <x:c r="G38" s="10" t="str">
        <x:v>축복의 그릇</x:v>
      </x:c>
      <x:c r="H38" s="10" t="str">
        <x:v>주변 아군의 초과 회복 일부를 시간제 보호막으로 전환한다. 보호막 상한을 둔다.</x:v>
      </x:c>
      <x:c r="I38" s="10" t="str">
        <x:v>회복 공급이 없으면 전환 효과가 없다</x:v>
      </x:c>
      <x:c r="J38" s="10" t="str">
        <x:v>성역 유지</x:v>
      </x:c>
      <x:c r="K38" s="11" t="n">
        <x:v>0</x:v>
      </x:c>
      <x:c r="L38" s="11" t="n">
        <x:v>0</x:v>
      </x:c>
      <x:c r="M38" s="11" t="n">
        <x:v>2</x:v>
      </x:c>
      <x:c r="N38" s="11" t="n">
        <x:v>2</x:v>
      </x:c>
      <x:c r="O38" s="11" t="n">
        <x:v>0</x:v>
      </x:c>
      <x:c r="P38" s="10" t="str">
        <x:v>0_0_2_2_0</x:v>
      </x:c>
      <x:c r="Q38" s="10" t="str">
        <x:v>SK_U3_00220</x:v>
      </x:c>
      <x:c r="R38" s="11" t="n">
        <x:f>SUM(K38:O38)</x:f>
        <x:v>4</x:v>
      </x:c>
    </x:row>
    <x:row r="39" ht="50" customHeight="1">
      <x:c r="A39" s="14" t="str">
        <x:v>U3_00202</x:v>
      </x:c>
      <x:c r="B39" s="14" t="str">
        <x:v>마력지휘자</x:v>
      </x:c>
      <x:c r="C39" s="9" t="str">
        <x:v>발동 주기 지원</x:v>
      </x:c>
      <x:c r="D39" s="9" t="str">
        <x:v>비전</x:v>
      </x:c>
      <x:c r="E39" s="9" t="str">
        <x:v>궁정</x:v>
      </x:c>
      <x:c r="F39" s="9" t="str">
        <x:v>번개</x:v>
      </x:c>
      <x:c r="G39" s="9" t="str">
        <x:v>마력 박자</x:v>
      </x:c>
      <x:c r="H39" s="9" t="str">
        <x:v>주변 아군의 공격 횟수형 능력에 필요한 공격 횟수를 1 줄인다. 최소 2회이며 동일 스킬은 중첩되지 않는다.</x:v>
      </x:c>
      <x:c r="I39" s="9" t="str">
        <x:v>공격 횟수형 능력이 없는 편성에 약하다</x:v>
      </x:c>
      <x:c r="J39" s="9" t="str">
        <x:v>과충전 연사</x:v>
      </x:c>
      <x:c r="K39" s="12" t="n">
        <x:v>0</x:v>
      </x:c>
      <x:c r="L39" s="12" t="n">
        <x:v>0</x:v>
      </x:c>
      <x:c r="M39" s="12" t="n">
        <x:v>2</x:v>
      </x:c>
      <x:c r="N39" s="12" t="n">
        <x:v>0</x:v>
      </x:c>
      <x:c r="O39" s="12" t="n">
        <x:v>2</x:v>
      </x:c>
      <x:c r="P39" s="9" t="str">
        <x:v>0_0_2_0_2</x:v>
      </x:c>
      <x:c r="Q39" s="9" t="str">
        <x:v>SK_U3_00202</x:v>
      </x:c>
      <x:c r="R39" s="12" t="n">
        <x:f>SUM(K39:O39)</x:f>
        <x:v>4</x:v>
      </x:c>
    </x:row>
    <x:row r="40" ht="50" customHeight="1">
      <x:c r="A40" s="13" t="str">
        <x:v>U3_00022</x:v>
      </x:c>
      <x:c r="B40" s="13" t="str">
        <x:v>빙하치유사</x:v>
      </x:c>
      <x:c r="C40" s="10" t="str">
        <x:v>보호막 둔화</x:v>
      </x:c>
      <x:c r="D40" s="10" t="str">
        <x:v>북방</x:v>
      </x:c>
      <x:c r="E40" s="10" t="str">
        <x:v>신성</x:v>
      </x:c>
      <x:c r="F40" s="10" t="str">
        <x:v>냉기</x:v>
      </x:c>
      <x:c r="G40" s="10" t="str">
        <x:v>빙하 장막</x:v>
      </x:c>
      <x:c r="H40" s="10" t="str">
        <x:v>아군에게 냉기 보호막을 주고 보호막이 파괴되면 주변 적을 둔화시킨다. 만료로는 발동하지 않는다.</x:v>
      </x:c>
      <x:c r="I40" s="10" t="str">
        <x:v>보호막이 파괴되지 않으면 제어 효과가 없다</x:v>
      </x:c>
      <x:c r="J40" s="10" t="str">
        <x:v>빙결 포격</x:v>
      </x:c>
      <x:c r="K40" s="11" t="n">
        <x:v>0</x:v>
      </x:c>
      <x:c r="L40" s="11" t="n">
        <x:v>0</x:v>
      </x:c>
      <x:c r="M40" s="11" t="n">
        <x:v>0</x:v>
      </x:c>
      <x:c r="N40" s="11" t="n">
        <x:v>2</x:v>
      </x:c>
      <x:c r="O40" s="11" t="n">
        <x:v>2</x:v>
      </x:c>
      <x:c r="P40" s="10" t="str">
        <x:v>0_0_0_2_2</x:v>
      </x:c>
      <x:c r="Q40" s="10" t="str">
        <x:v>SK_U3_00022</x:v>
      </x:c>
      <x:c r="R40" s="11" t="n">
        <x:f>SUM(K40:O40)</x:f>
        <x:v>4</x:v>
      </x:c>
    </x:row>
    <x:row r="41" ht="50" customHeight="1">
      <x:c r="A41" s="14" t="str">
        <x:v>U3_21100</x:v>
      </x:c>
      <x:c r="B41" s="14" t="str">
        <x:v>왕실척후대장</x:v>
      </x:c>
      <x:c r="C41" s="9" t="str">
        <x:v>전열 사격 지원</x:v>
      </x:c>
      <x:c r="D41" s="9" t="str">
        <x:v>궁정</x:v>
      </x:c>
      <x:c r="E41" s="9" t="str">
        <x:v>용맹</x:v>
      </x:c>
      <x:c r="F41" s="9" t="str">
        <x:v>물리</x:v>
      </x:c>
      <x:c r="G41" s="9" t="str">
        <x:v>협동 제압</x:v>
      </x:c>
      <x:c r="H41" s="9" t="str">
        <x:v>저지한 적을 주변 원거리 아군이 공격하면 자신의 반격이 충전된다. 공격별 발동 간격을 둔다.</x:v>
      </x:c>
      <x:c r="I41" s="9" t="str">
        <x:v>원거리 아군이 없으면 반격 충전이 느리다</x:v>
      </x:c>
      <x:c r="J41" s="9" t="str">
        <x:v>궁정 진형</x:v>
      </x:c>
      <x:c r="K41" s="12" t="n">
        <x:v>2</x:v>
      </x:c>
      <x:c r="L41" s="12" t="n">
        <x:v>1</x:v>
      </x:c>
      <x:c r="M41" s="12" t="n">
        <x:v>1</x:v>
      </x:c>
      <x:c r="N41" s="12" t="n">
        <x:v>0</x:v>
      </x:c>
      <x:c r="O41" s="12" t="n">
        <x:v>0</x:v>
      </x:c>
      <x:c r="P41" s="9" t="str">
        <x:v>2_1_1_0_0</x:v>
      </x:c>
      <x:c r="Q41" s="9" t="str">
        <x:v>SK_U3_21100</x:v>
      </x:c>
      <x:c r="R41" s="12" t="n">
        <x:f>SUM(K41:O41)</x:f>
        <x:v>4</x:v>
      </x:c>
    </x:row>
    <x:row r="42" ht="50" customHeight="1">
      <x:c r="A42" s="13" t="str">
        <x:v>U3_21010</x:v>
      </x:c>
      <x:c r="B42" s="13" t="str">
        <x:v>수림수호자</x:v>
      </x:c>
      <x:c r="C42" s="10" t="str">
        <x:v>재생 저지</x:v>
      </x:c>
      <x:c r="D42" s="10" t="str">
        <x:v>자연</x:v>
      </x:c>
      <x:c r="E42" s="10" t="str">
        <x:v>신성</x:v>
      </x:c>
      <x:c r="F42" s="10" t="str">
        <x:v>자연</x:v>
      </x:c>
      <x:c r="G42" s="10" t="str">
        <x:v>생명의 뿌리</x:v>
      </x:c>
      <x:c r="H42" s="10" t="str">
        <x:v>저지 중인 적에게 뿌리 표식을 남기고 표식 대상 사망 시 자신의 체력을 회복한다.</x:v>
      </x:c>
      <x:c r="I42" s="10" t="str">
        <x:v>단일 보스전에서 회복이 드물다</x:v>
      </x:c>
      <x:c r="J42" s="10" t="str">
        <x:v>자연 순환</x:v>
      </x:c>
      <x:c r="K42" s="11" t="n">
        <x:v>2</x:v>
      </x:c>
      <x:c r="L42" s="11" t="n">
        <x:v>1</x:v>
      </x:c>
      <x:c r="M42" s="11" t="n">
        <x:v>0</x:v>
      </x:c>
      <x:c r="N42" s="11" t="n">
        <x:v>1</x:v>
      </x:c>
      <x:c r="O42" s="11" t="n">
        <x:v>0</x:v>
      </x:c>
      <x:c r="P42" s="10" t="str">
        <x:v>2_1_0_1_0</x:v>
      </x:c>
      <x:c r="Q42" s="10" t="str">
        <x:v>SK_U3_21010</x:v>
      </x:c>
      <x:c r="R42" s="11" t="n">
        <x:f>SUM(K42:O42)</x:f>
        <x:v>4</x:v>
      </x:c>
    </x:row>
    <x:row r="43" ht="50" customHeight="1">
      <x:c r="A43" s="14" t="str">
        <x:v>U3_21001</x:v>
      </x:c>
      <x:c r="B43" s="14" t="str">
        <x:v>천둥창기사</x:v>
      </x:c>
      <x:c r="C43" s="9" t="str">
        <x:v>직선 제어</x:v>
      </x:c>
      <x:c r="D43" s="9" t="str">
        <x:v>용맹</x:v>
      </x:c>
      <x:c r="E43" s="9" t="str">
        <x:v>공학</x:v>
      </x:c>
      <x:c r="F43" s="9" t="str">
        <x:v>번개</x:v>
      </x:c>
      <x:c r="G43" s="9" t="str">
        <x:v>뇌격 돌진</x:v>
      </x:c>
      <x:c r="H43" s="9" t="str">
        <x:v>전방 직선에 번개 피해를 주고 일반 적을 짧게 경직시킨다. 자신은 배치 칸에서 이동하지 않는다.</x:v>
      </x:c>
      <x:c r="I43" s="9" t="str">
        <x:v>경직 면역과 측면 진입에 약하다</x:v>
      </x:c>
      <x:c r="J43" s="9" t="str">
        <x:v>관통 사격</x:v>
      </x:c>
      <x:c r="K43" s="12" t="n">
        <x:v>2</x:v>
      </x:c>
      <x:c r="L43" s="12" t="n">
        <x:v>1</x:v>
      </x:c>
      <x:c r="M43" s="12" t="n">
        <x:v>0</x:v>
      </x:c>
      <x:c r="N43" s="12" t="n">
        <x:v>0</x:v>
      </x:c>
      <x:c r="O43" s="12" t="n">
        <x:v>1</x:v>
      </x:c>
      <x:c r="P43" s="9" t="str">
        <x:v>2_1_0_0_1</x:v>
      </x:c>
      <x:c r="Q43" s="9" t="str">
        <x:v>SK_U3_21001</x:v>
      </x:c>
      <x:c r="R43" s="12" t="n">
        <x:f>SUM(K43:O43)</x:f>
        <x:v>4</x:v>
      </x:c>
    </x:row>
    <x:row r="44" ht="50" customHeight="1">
      <x:c r="A44" s="13" t="str">
        <x:v>U3_20110</x:v>
      </x:c>
      <x:c r="B44" s="13" t="str">
        <x:v>왕실구호대장</x:v>
      </x:c>
      <x:c r="C44" s="10" t="str">
        <x:v>보호 회복</x:v>
      </x:c>
      <x:c r="D44" s="10" t="str">
        <x:v>궁정</x:v>
      </x:c>
      <x:c r="E44" s="10" t="str">
        <x:v>신성</x:v>
      </x:c>
      <x:c r="F44" s="10" t="str">
        <x:v>신성</x:v>
      </x:c>
      <x:c r="G44" s="10" t="str">
        <x:v>구호 명령</x:v>
      </x:c>
      <x:c r="H44" s="10" t="str">
        <x:v>주변 아군 보호막이 파괴되면 해당 아군을 회복한다. 대상별 재발동 대기시간을 둔다.</x:v>
      </x:c>
      <x:c r="I44" s="10" t="str">
        <x:v>보호막 공급이 없으면 효과가 적다</x:v>
      </x:c>
      <x:c r="J44" s="10" t="str">
        <x:v>성역 유지</x:v>
      </x:c>
      <x:c r="K44" s="11" t="n">
        <x:v>2</x:v>
      </x:c>
      <x:c r="L44" s="11" t="n">
        <x:v>0</x:v>
      </x:c>
      <x:c r="M44" s="11" t="n">
        <x:v>1</x:v>
      </x:c>
      <x:c r="N44" s="11" t="n">
        <x:v>1</x:v>
      </x:c>
      <x:c r="O44" s="11" t="n">
        <x:v>0</x:v>
      </x:c>
      <x:c r="P44" s="10" t="str">
        <x:v>2_0_1_1_0</x:v>
      </x:c>
      <x:c r="Q44" s="10" t="str">
        <x:v>SK_U3_20110</x:v>
      </x:c>
      <x:c r="R44" s="11" t="n">
        <x:f>SUM(K44:O44)</x:f>
        <x:v>4</x:v>
      </x:c>
    </x:row>
    <x:row r="45" ht="50" customHeight="1">
      <x:c r="A45" s="14" t="str">
        <x:v>U3_20101</x:v>
      </x:c>
      <x:c r="B45" s="14" t="str">
        <x:v>왕립마도기사</x:v>
      </x:c>
      <x:c r="C45" s="9" t="str">
        <x:v>속성 전열 지원</x:v>
      </x:c>
      <x:c r="D45" s="9" t="str">
        <x:v>궁정</x:v>
      </x:c>
      <x:c r="E45" s="9" t="str">
        <x:v>비전</x:v>
      </x:c>
      <x:c r="F45" s="9" t="str">
        <x:v>번개</x:v>
      </x:c>
      <x:c r="G45" s="9" t="str">
        <x:v>마도 진형</x:v>
      </x:c>
      <x:c r="H45" s="9" t="str">
        <x:v>저지한 적이 받는 비물리 속성 피해를 증가시킨다. 주술사와는 다른 스킬이나 합산 상한을 둔다.</x:v>
      </x:c>
      <x:c r="I45" s="9" t="str">
        <x:v>물리 중심 편성에는 기여가 적다</x:v>
      </x:c>
      <x:c r="J45" s="9" t="str">
        <x:v>약점 분석</x:v>
      </x:c>
      <x:c r="K45" s="12" t="n">
        <x:v>2</x:v>
      </x:c>
      <x:c r="L45" s="12" t="n">
        <x:v>0</x:v>
      </x:c>
      <x:c r="M45" s="12" t="n">
        <x:v>1</x:v>
      </x:c>
      <x:c r="N45" s="12" t="n">
        <x:v>0</x:v>
      </x:c>
      <x:c r="O45" s="12" t="n">
        <x:v>1</x:v>
      </x:c>
      <x:c r="P45" s="9" t="str">
        <x:v>2_0_1_0_1</x:v>
      </x:c>
      <x:c r="Q45" s="9" t="str">
        <x:v>SK_U3_20101</x:v>
      </x:c>
      <x:c r="R45" s="12" t="n">
        <x:f>SUM(K45:O45)</x:f>
        <x:v>4</x:v>
      </x:c>
    </x:row>
    <x:row r="46" ht="50" customHeight="1">
      <x:c r="A46" s="13" t="str">
        <x:v>U3_20011</x:v>
      </x:c>
      <x:c r="B46" s="13" t="str">
        <x:v>서리성기사</x:v>
      </x:c>
      <x:c r="C46" s="10" t="str">
        <x:v>냉기 저지</x:v>
      </x:c>
      <x:c r="D46" s="10" t="str">
        <x:v>북방</x:v>
      </x:c>
      <x:c r="E46" s="10" t="str">
        <x:v>신성</x:v>
      </x:c>
      <x:c r="F46" s="10" t="str">
        <x:v>냉기</x:v>
      </x:c>
      <x:c r="G46" s="10" t="str">
        <x:v>얼어붙은 맹세</x:v>
      </x:c>
      <x:c r="H46" s="10" t="str">
        <x:v>회복을 받으면 다음 공격이 주변 적을 둔화시킨다. 회복 한 번당 한 번만 충전된다.</x:v>
      </x:c>
      <x:c r="I46" s="10" t="str">
        <x:v>회복 공급과 교전 유지가 필요하다</x:v>
      </x:c>
      <x:c r="J46" s="10" t="str">
        <x:v>빙결 포격</x:v>
      </x:c>
      <x:c r="K46" s="11" t="n">
        <x:v>2</x:v>
      </x:c>
      <x:c r="L46" s="11" t="n">
        <x:v>0</x:v>
      </x:c>
      <x:c r="M46" s="11" t="n">
        <x:v>0</x:v>
      </x:c>
      <x:c r="N46" s="11" t="n">
        <x:v>1</x:v>
      </x:c>
      <x:c r="O46" s="11" t="n">
        <x:v>1</x:v>
      </x:c>
      <x:c r="P46" s="10" t="str">
        <x:v>2_0_0_1_1</x:v>
      </x:c>
      <x:c r="Q46" s="10" t="str">
        <x:v>SK_U3_20011</x:v>
      </x:c>
      <x:c r="R46" s="11" t="n">
        <x:f>SUM(K46:O46)</x:f>
        <x:v>4</x:v>
      </x:c>
    </x:row>
    <x:row r="47" ht="50" customHeight="1">
      <x:c r="A47" s="14" t="str">
        <x:v>U3_12100</x:v>
      </x:c>
      <x:c r="B47" s="14" t="str">
        <x:v>왕실사냥대장</x:v>
      </x:c>
      <x:c r="C47" s="9" t="str">
        <x:v>집중 사격 지원</x:v>
      </x:c>
      <x:c r="D47" s="9" t="str">
        <x:v>궁정</x:v>
      </x:c>
      <x:c r="E47" s="9" t="str">
        <x:v>자연</x:v>
      </x:c>
      <x:c r="F47" s="9" t="str">
        <x:v>물리</x:v>
      </x:c>
      <x:c r="G47" s="9" t="str">
        <x:v>집중 명령</x:v>
      </x:c>
      <x:c r="H47" s="9" t="str">
        <x:v>자신이 공격한 적에게 집중 표식을 남겨 원거리 아군의 직접 피해를 높인다.</x:v>
      </x:c>
      <x:c r="I47" s="9" t="str">
        <x:v>목표를 자주 바꾸면 효과가 낮다</x:v>
      </x:c>
      <x:c r="J47" s="9" t="str">
        <x:v>철벽 사격</x:v>
      </x:c>
      <x:c r="K47" s="12" t="n">
        <x:v>1</x:v>
      </x:c>
      <x:c r="L47" s="12" t="n">
        <x:v>2</x:v>
      </x:c>
      <x:c r="M47" s="12" t="n">
        <x:v>1</x:v>
      </x:c>
      <x:c r="N47" s="12" t="n">
        <x:v>0</x:v>
      </x:c>
      <x:c r="O47" s="12" t="n">
        <x:v>0</x:v>
      </x:c>
      <x:c r="P47" s="9" t="str">
        <x:v>1_2_1_0_0</x:v>
      </x:c>
      <x:c r="Q47" s="9" t="str">
        <x:v>SK_U3_12100</x:v>
      </x:c>
      <x:c r="R47" s="12" t="n">
        <x:f>SUM(K47:O47)</x:f>
        <x:v>4</x:v>
      </x:c>
    </x:row>
    <x:row r="48" ht="50" customHeight="1">
      <x:c r="A48" s="13" t="str">
        <x:v>U3_12010</x:v>
      </x:c>
      <x:c r="B48" s="13" t="str">
        <x:v>숲의 파수꾼</x:v>
      </x:c>
      <x:c r="C48" s="10" t="str">
        <x:v>회복 반격</x:v>
      </x:c>
      <x:c r="D48" s="10" t="str">
        <x:v>자연</x:v>
      </x:c>
      <x:c r="E48" s="10" t="str">
        <x:v>용맹</x:v>
      </x:c>
      <x:c r="F48" s="10" t="str">
        <x:v>자연</x:v>
      </x:c>
      <x:c r="G48" s="10" t="str">
        <x:v>파수의 화살</x:v>
      </x:c>
      <x:c r="H48" s="10" t="str">
        <x:v>전방 아군이 직접 공격에 피격되면 그 적에게 반격 화살을 쏜다. 내부 발동 간격을 둔다.</x:v>
      </x:c>
      <x:c r="I48" s="10" t="str">
        <x:v>적의 원거리 우회 공격에 반격하기 어렵다</x:v>
      </x:c>
      <x:c r="J48" s="10" t="str">
        <x:v>자연 순환</x:v>
      </x:c>
      <x:c r="K48" s="11" t="n">
        <x:v>1</x:v>
      </x:c>
      <x:c r="L48" s="11" t="n">
        <x:v>2</x:v>
      </x:c>
      <x:c r="M48" s="11" t="n">
        <x:v>0</x:v>
      </x:c>
      <x:c r="N48" s="11" t="n">
        <x:v>1</x:v>
      </x:c>
      <x:c r="O48" s="11" t="n">
        <x:v>0</x:v>
      </x:c>
      <x:c r="P48" s="10" t="str">
        <x:v>1_2_0_1_0</x:v>
      </x:c>
      <x:c r="Q48" s="10" t="str">
        <x:v>SK_U3_12010</x:v>
      </x:c>
      <x:c r="R48" s="11" t="n">
        <x:f>SUM(K48:O48)</x:f>
        <x:v>4</x:v>
      </x:c>
    </x:row>
    <x:row r="49" ht="50" customHeight="1">
      <x:c r="A49" s="14" t="str">
        <x:v>U3_12001</x:v>
      </x:c>
      <x:c r="B49" s="14" t="str">
        <x:v>빙결노포병</x:v>
      </x:c>
      <x:c r="C49" s="9" t="str">
        <x:v>직선 둔화</x:v>
      </x:c>
      <x:c r="D49" s="9" t="str">
        <x:v>북방</x:v>
      </x:c>
      <x:c r="E49" s="9" t="str">
        <x:v>공학</x:v>
      </x:c>
      <x:c r="F49" s="9" t="str">
        <x:v>냉기</x:v>
      </x:c>
      <x:c r="G49" s="9" t="str">
        <x:v>빙결 쇠뇌</x:v>
      </x:c>
      <x:c r="H49" s="9" t="str">
        <x:v>관통 냉기 탄환으로 직선 적을 둔화시킨다. 이미 둔화된 일반 적은 짧게 속박한다.</x:v>
      </x:c>
      <x:c r="I49" s="9" t="str">
        <x:v>제어 면역 적에게 추가 효과가 없다</x:v>
      </x:c>
      <x:c r="J49" s="9" t="str">
        <x:v>관통 사격</x:v>
      </x:c>
      <x:c r="K49" s="12" t="n">
        <x:v>1</x:v>
      </x:c>
      <x:c r="L49" s="12" t="n">
        <x:v>2</x:v>
      </x:c>
      <x:c r="M49" s="12" t="n">
        <x:v>0</x:v>
      </x:c>
      <x:c r="N49" s="12" t="n">
        <x:v>0</x:v>
      </x:c>
      <x:c r="O49" s="12" t="n">
        <x:v>1</x:v>
      </x:c>
      <x:c r="P49" s="9" t="str">
        <x:v>1_2_0_0_1</x:v>
      </x:c>
      <x:c r="Q49" s="9" t="str">
        <x:v>SK_U3_12001</x:v>
      </x:c>
      <x:c r="R49" s="12" t="n">
        <x:f>SUM(K49:O49)</x:f>
        <x:v>4</x:v>
      </x:c>
    </x:row>
    <x:row r="50" ht="50" customHeight="1">
      <x:c r="A50" s="13" t="str">
        <x:v>U3_02110</x:v>
      </x:c>
      <x:c r="B50" s="13" t="str">
        <x:v>성가궁수</x:v>
      </x:c>
      <x:c r="C50" s="10" t="str">
        <x:v>공격 회복 지원</x:v>
      </x:c>
      <x:c r="D50" s="10" t="str">
        <x:v>신성</x:v>
      </x:c>
      <x:c r="E50" s="10" t="str">
        <x:v>궁정</x:v>
      </x:c>
      <x:c r="F50" s="10" t="str">
        <x:v>신성</x:v>
      </x:c>
      <x:c r="G50" s="10" t="str">
        <x:v>성가 사격</x:v>
      </x:c>
      <x:c r="H50" s="10" t="str">
        <x:v>기본 공격 4회마다 주변 아군을 회복하고 자신에게 짧은 공격속도 강화를 부여한다.</x:v>
      </x:c>
      <x:c r="I50" s="10" t="str">
        <x:v>공격 불가 상태에서는 회복도 멈춘다</x:v>
      </x:c>
      <x:c r="J50" s="10" t="str">
        <x:v>과충전 연사</x:v>
      </x:c>
      <x:c r="K50" s="11" t="n">
        <x:v>0</x:v>
      </x:c>
      <x:c r="L50" s="11" t="n">
        <x:v>2</x:v>
      </x:c>
      <x:c r="M50" s="11" t="n">
        <x:v>1</x:v>
      </x:c>
      <x:c r="N50" s="11" t="n">
        <x:v>1</x:v>
      </x:c>
      <x:c r="O50" s="11" t="n">
        <x:v>0</x:v>
      </x:c>
      <x:c r="P50" s="10" t="str">
        <x:v>0_2_1_1_0</x:v>
      </x:c>
      <x:c r="Q50" s="10" t="str">
        <x:v>SK_U3_02110</x:v>
      </x:c>
      <x:c r="R50" s="11" t="n">
        <x:f>SUM(K50:O50)</x:f>
        <x:v>4</x:v>
      </x:c>
    </x:row>
    <x:row r="51" ht="50" customHeight="1">
      <x:c r="A51" s="14" t="str">
        <x:v>U3_02101</x:v>
      </x:c>
      <x:c r="B51" s="14" t="str">
        <x:v>룬연사수</x:v>
      </x:c>
      <x:c r="C51" s="9" t="str">
        <x:v>약점 연사</x:v>
      </x:c>
      <x:c r="D51" s="9" t="str">
        <x:v>비전</x:v>
      </x:c>
      <x:c r="E51" s="9" t="str">
        <x:v>공학</x:v>
      </x:c>
      <x:c r="F51" s="9" t="str">
        <x:v>번개</x:v>
      </x:c>
      <x:c r="G51" s="9" t="str">
        <x:v>공명 탄창</x:v>
      </x:c>
      <x:c r="H51" s="9" t="str">
        <x:v>약점속성으로 직접 피해를 주면 다음 기본 공격을 강화한다. 강화 공격은 공명을 다시 충전하지 않는다.</x:v>
      </x:c>
      <x:c r="I51" s="9" t="str">
        <x:v>번개 약점이 없으면 추가 효과가 없다</x:v>
      </x:c>
      <x:c r="J51" s="9" t="str">
        <x:v>약점 분석</x:v>
      </x:c>
      <x:c r="K51" s="12" t="n">
        <x:v>0</x:v>
      </x:c>
      <x:c r="L51" s="12" t="n">
        <x:v>2</x:v>
      </x:c>
      <x:c r="M51" s="12" t="n">
        <x:v>1</x:v>
      </x:c>
      <x:c r="N51" s="12" t="n">
        <x:v>0</x:v>
      </x:c>
      <x:c r="O51" s="12" t="n">
        <x:v>1</x:v>
      </x:c>
      <x:c r="P51" s="9" t="str">
        <x:v>0_2_1_0_1</x:v>
      </x:c>
      <x:c r="Q51" s="9" t="str">
        <x:v>SK_U3_02101</x:v>
      </x:c>
      <x:c r="R51" s="12" t="n">
        <x:f>SUM(K51:O51)</x:f>
        <x:v>4</x:v>
      </x:c>
    </x:row>
    <x:row r="52" ht="50" customHeight="1">
      <x:c r="A52" s="13" t="str">
        <x:v>U3_02011</x:v>
      </x:c>
      <x:c r="B52" s="13" t="str">
        <x:v>겨울숲 사냥꾼</x:v>
      </x:c>
      <x:c r="C52" s="10" t="str">
        <x:v>감속 표식</x:v>
      </x:c>
      <x:c r="D52" s="10" t="str">
        <x:v>북방</x:v>
      </x:c>
      <x:c r="E52" s="10" t="str">
        <x:v>자연</x:v>
      </x:c>
      <x:c r="F52" s="10" t="str">
        <x:v>냉기</x:v>
      </x:c>
      <x:c r="G52" s="10" t="str">
        <x:v>겨울 사냥</x:v>
      </x:c>
      <x:c r="H52" s="10" t="str">
        <x:v>둔화된 적에게 사냥 표식을 부여하고 표식 대상 사망 시 주변 아군을 회복한다.</x:v>
      </x:c>
      <x:c r="I52" s="10" t="str">
        <x:v>보스 단독전과 둔화 면역에 약하다</x:v>
      </x:c>
      <x:c r="J52" s="10" t="str">
        <x:v>빙결 포격</x:v>
      </x:c>
      <x:c r="K52" s="11" t="n">
        <x:v>0</x:v>
      </x:c>
      <x:c r="L52" s="11" t="n">
        <x:v>2</x:v>
      </x:c>
      <x:c r="M52" s="11" t="n">
        <x:v>0</x:v>
      </x:c>
      <x:c r="N52" s="11" t="n">
        <x:v>1</x:v>
      </x:c>
      <x:c r="O52" s="11" t="n">
        <x:v>1</x:v>
      </x:c>
      <x:c r="P52" s="10" t="str">
        <x:v>0_2_0_1_1</x:v>
      </x:c>
      <x:c r="Q52" s="10" t="str">
        <x:v>SK_U3_02011</x:v>
      </x:c>
      <x:c r="R52" s="11" t="n">
        <x:f>SUM(K52:O52)</x:f>
        <x:v>4</x:v>
      </x:c>
    </x:row>
    <x:row r="53" ht="50" customHeight="1">
      <x:c r="A53" s="14" t="str">
        <x:v>U3_11200</x:v>
      </x:c>
      <x:c r="B53" s="14" t="str">
        <x:v>왕실전술가</x:v>
      </x:c>
      <x:c r="C53" s="9" t="str">
        <x:v>사격 진형 지원</x:v>
      </x:c>
      <x:c r="D53" s="9" t="str">
        <x:v>궁정</x:v>
      </x:c>
      <x:c r="E53" s="9" t="str">
        <x:v>용맹</x:v>
      </x:c>
      <x:c r="F53" s="9" t="str">
        <x:v>물리</x:v>
      </x:c>
      <x:c r="G53" s="9" t="str">
        <x:v>교차 사격진</x:v>
      </x:c>
      <x:c r="H53" s="9" t="str">
        <x:v>자신 앞쪽 전방 아군의 방어력과 뒤쪽 원거리 아군의 공격력을 각각 강화한다.</x:v>
      </x:c>
      <x:c r="I53" s="9" t="str">
        <x:v>앞뒤 배치 조건이 필요하다</x:v>
      </x:c>
      <x:c r="J53" s="9" t="str">
        <x:v>궁정 진형</x:v>
      </x:c>
      <x:c r="K53" s="12" t="n">
        <x:v>1</x:v>
      </x:c>
      <x:c r="L53" s="12" t="n">
        <x:v>1</x:v>
      </x:c>
      <x:c r="M53" s="12" t="n">
        <x:v>2</x:v>
      </x:c>
      <x:c r="N53" s="12" t="n">
        <x:v>0</x:v>
      </x:c>
      <x:c r="O53" s="12" t="n">
        <x:v>0</x:v>
      </x:c>
      <x:c r="P53" s="9" t="str">
        <x:v>1_1_2_0_0</x:v>
      </x:c>
      <x:c r="Q53" s="9" t="str">
        <x:v>SK_U3_11200</x:v>
      </x:c>
      <x:c r="R53" s="12" t="n">
        <x:f>SUM(K53:O53)</x:f>
        <x:v>4</x:v>
      </x:c>
    </x:row>
    <x:row r="54" ht="50" customHeight="1">
      <x:c r="A54" s="13" t="str">
        <x:v>U3_10210</x:v>
      </x:c>
      <x:c r="B54" s="13" t="str">
        <x:v>궁정수호사제</x:v>
      </x:c>
      <x:c r="C54" s="10" t="str">
        <x:v>보호막 지원</x:v>
      </x:c>
      <x:c r="D54" s="10" t="str">
        <x:v>궁정</x:v>
      </x:c>
      <x:c r="E54" s="10" t="str">
        <x:v>신성</x:v>
      </x:c>
      <x:c r="F54" s="10" t="str">
        <x:v>신성</x:v>
      </x:c>
      <x:c r="G54" s="10" t="str">
        <x:v>왕실의 가호</x:v>
      </x:c>
      <x:c r="H54" s="10" t="str">
        <x:v>궁정 아군에게 보호막을 부여하고 보호막이 있는 아군의 받는 회복량을 높인다.</x:v>
      </x:c>
      <x:c r="I54" s="10" t="str">
        <x:v>궁정이 적거나 보호막이 제거되면 약하다</x:v>
      </x:c>
      <x:c r="J54" s="10" t="str">
        <x:v>성역 유지</x:v>
      </x:c>
      <x:c r="K54" s="11" t="n">
        <x:v>1</x:v>
      </x:c>
      <x:c r="L54" s="11" t="n">
        <x:v>0</x:v>
      </x:c>
      <x:c r="M54" s="11" t="n">
        <x:v>2</x:v>
      </x:c>
      <x:c r="N54" s="11" t="n">
        <x:v>1</x:v>
      </x:c>
      <x:c r="O54" s="11" t="n">
        <x:v>0</x:v>
      </x:c>
      <x:c r="P54" s="10" t="str">
        <x:v>1_0_2_1_0</x:v>
      </x:c>
      <x:c r="Q54" s="10" t="str">
        <x:v>SK_U3_10210</x:v>
      </x:c>
      <x:c r="R54" s="11" t="n">
        <x:f>SUM(K54:O54)</x:f>
        <x:v>4</x:v>
      </x:c>
    </x:row>
    <x:row r="55" ht="50" customHeight="1">
      <x:c r="A55" s="14" t="str">
        <x:v>U3_10201</x:v>
      </x:c>
      <x:c r="B55" s="14" t="str">
        <x:v>전쟁룬술사</x:v>
      </x:c>
      <x:c r="C55" s="9" t="str">
        <x:v>저지 속성 지원</x:v>
      </x:c>
      <x:c r="D55" s="9" t="str">
        <x:v>비전</x:v>
      </x:c>
      <x:c r="E55" s="9" t="str">
        <x:v>용맹</x:v>
      </x:c>
      <x:c r="F55" s="9" t="str">
        <x:v>화염</x:v>
      </x:c>
      <x:c r="G55" s="9" t="str">
        <x:v>전쟁 룬</x:v>
      </x:c>
      <x:c r="H55" s="9" t="str">
        <x:v>전방 아군이 저지한 적에게 주기적으로 화염 피해를 준다.</x:v>
      </x:c>
      <x:c r="I55" s="9" t="str">
        <x:v>적을 저지하지 않는 편성에서는 약하다</x:v>
      </x:c>
      <x:c r="J55" s="9" t="str">
        <x:v>용광로 방어</x:v>
      </x:c>
      <x:c r="K55" s="12" t="n">
        <x:v>1</x:v>
      </x:c>
      <x:c r="L55" s="12" t="n">
        <x:v>0</x:v>
      </x:c>
      <x:c r="M55" s="12" t="n">
        <x:v>2</x:v>
      </x:c>
      <x:c r="N55" s="12" t="n">
        <x:v>0</x:v>
      </x:c>
      <x:c r="O55" s="12" t="n">
        <x:v>1</x:v>
      </x:c>
      <x:c r="P55" s="9" t="str">
        <x:v>1_0_2_0_1</x:v>
      </x:c>
      <x:c r="Q55" s="9" t="str">
        <x:v>SK_U3_10201</x:v>
      </x:c>
      <x:c r="R55" s="12" t="n">
        <x:f>SUM(K55:O55)</x:f>
        <x:v>4</x:v>
      </x:c>
    </x:row>
    <x:row r="56" ht="50" customHeight="1">
      <x:c r="A56" s="13" t="str">
        <x:v>U3_01210</x:v>
      </x:c>
      <x:c r="B56" s="13" t="str">
        <x:v>숲의 악장</x:v>
      </x:c>
      <x:c r="C56" s="10" t="str">
        <x:v>자연 공격 지원</x:v>
      </x:c>
      <x:c r="D56" s="10" t="str">
        <x:v>자연</x:v>
      </x:c>
      <x:c r="E56" s="10" t="str">
        <x:v>궁정</x:v>
      </x:c>
      <x:c r="F56" s="10" t="str">
        <x:v>자연</x:v>
      </x:c>
      <x:c r="G56" s="10" t="str">
        <x:v>숲의 합주</x:v>
      </x:c>
      <x:c r="H56" s="10" t="str">
        <x:v>자연 아군이 표식 대상에게 주는 피해를 높이고 표식 대상 사망 시 강화 지속시간을 갱신한다.</x:v>
      </x:c>
      <x:c r="I56" s="10" t="str">
        <x:v>표식 능력을 가진 아군이 필요하다</x:v>
      </x:c>
      <x:c r="J56" s="10" t="str">
        <x:v>자연 순환</x:v>
      </x:c>
      <x:c r="K56" s="11" t="n">
        <x:v>0</x:v>
      </x:c>
      <x:c r="L56" s="11" t="n">
        <x:v>1</x:v>
      </x:c>
      <x:c r="M56" s="11" t="n">
        <x:v>2</x:v>
      </x:c>
      <x:c r="N56" s="11" t="n">
        <x:v>1</x:v>
      </x:c>
      <x:c r="O56" s="11" t="n">
        <x:v>0</x:v>
      </x:c>
      <x:c r="P56" s="10" t="str">
        <x:v>0_1_2_1_0</x:v>
      </x:c>
      <x:c r="Q56" s="10" t="str">
        <x:v>SK_U3_01210</x:v>
      </x:c>
      <x:c r="R56" s="11" t="n">
        <x:f>SUM(K56:O56)</x:f>
        <x:v>4</x:v>
      </x:c>
    </x:row>
    <x:row r="57" ht="50" customHeight="1">
      <x:c r="A57" s="14" t="str">
        <x:v>U3_01201</x:v>
      </x:c>
      <x:c r="B57" s="14" t="str">
        <x:v>별빛지휘관</x:v>
      </x:c>
      <x:c r="C57" s="9" t="str">
        <x:v>공격 횟수 지원</x:v>
      </x:c>
      <x:c r="D57" s="9" t="str">
        <x:v>비전</x:v>
      </x:c>
      <x:c r="E57" s="9" t="str">
        <x:v>궁정</x:v>
      </x:c>
      <x:c r="F57" s="9" t="str">
        <x:v>번개</x:v>
      </x:c>
      <x:c r="G57" s="9" t="str">
        <x:v>별빛 지휘</x:v>
      </x:c>
      <x:c r="H57" s="9" t="str">
        <x:v>주변 아군의 기본 공격 4회마다 해당 아군의 다음 능력 피해를 강화한다. 대상별로 횟수를 센다.</x:v>
      </x:c>
      <x:c r="I57" s="9" t="str">
        <x:v>능력 공격이 없는 아군에는 기여가 적다</x:v>
      </x:c>
      <x:c r="J57" s="9" t="str">
        <x:v>과충전 연사</x:v>
      </x:c>
      <x:c r="K57" s="12" t="n">
        <x:v>0</x:v>
      </x:c>
      <x:c r="L57" s="12" t="n">
        <x:v>1</x:v>
      </x:c>
      <x:c r="M57" s="12" t="n">
        <x:v>2</x:v>
      </x:c>
      <x:c r="N57" s="12" t="n">
        <x:v>0</x:v>
      </x:c>
      <x:c r="O57" s="12" t="n">
        <x:v>1</x:v>
      </x:c>
      <x:c r="P57" s="9" t="str">
        <x:v>0_1_2_0_1</x:v>
      </x:c>
      <x:c r="Q57" s="9" t="str">
        <x:v>SK_U3_01201</x:v>
      </x:c>
      <x:c r="R57" s="12" t="n">
        <x:f>SUM(K57:O57)</x:f>
        <x:v>4</x:v>
      </x:c>
    </x:row>
    <x:row r="58" ht="50" customHeight="1">
      <x:c r="A58" s="13" t="str">
        <x:v>U3_00211</x:v>
      </x:c>
      <x:c r="B58" s="13" t="str">
        <x:v>월광사제</x:v>
      </x:c>
      <x:c r="C58" s="10" t="str">
        <x:v>속성 정화 지원</x:v>
      </x:c>
      <x:c r="D58" s="10" t="str">
        <x:v>신성</x:v>
      </x:c>
      <x:c r="E58" s="10" t="str">
        <x:v>암영</x:v>
      </x:c>
      <x:c r="F58" s="10" t="str">
        <x:v>암흑</x:v>
      </x:c>
      <x:c r="G58" s="10" t="str">
        <x:v>월광 기도</x:v>
      </x:c>
      <x:c r="H58" s="10" t="str">
        <x:v>아군의 해제 가능한 약화 효과를 제거하고 정화한 아군의 다음 속성 공격을 강화한다.</x:v>
      </x:c>
      <x:c r="I58" s="10" t="str">
        <x:v>적이 약화를 쓰지 않으면 강화 발동이 드물다</x:v>
      </x:c>
      <x:c r="J58" s="10" t="str">
        <x:v>약점 분석</x:v>
      </x:c>
      <x:c r="K58" s="11" t="n">
        <x:v>0</x:v>
      </x:c>
      <x:c r="L58" s="11" t="n">
        <x:v>0</x:v>
      </x:c>
      <x:c r="M58" s="11" t="n">
        <x:v>2</x:v>
      </x:c>
      <x:c r="N58" s="11" t="n">
        <x:v>1</x:v>
      </x:c>
      <x:c r="O58" s="11" t="n">
        <x:v>1</x:v>
      </x:c>
      <x:c r="P58" s="10" t="str">
        <x:v>0_0_2_1_1</x:v>
      </x:c>
      <x:c r="Q58" s="10" t="str">
        <x:v>SK_U3_00211</x:v>
      </x:c>
      <x:c r="R58" s="11" t="n">
        <x:f>SUM(K58:O58)</x:f>
        <x:v>4</x:v>
      </x:c>
    </x:row>
    <x:row r="59" ht="50" customHeight="1">
      <x:c r="A59" s="14" t="str">
        <x:v>U3_11020</x:v>
      </x:c>
      <x:c r="B59" s="14" t="str">
        <x:v>생명의 감시자</x:v>
      </x:c>
      <x:c r="C59" s="9" t="str">
        <x:v>전열 회복</x:v>
      </x:c>
      <x:c r="D59" s="9" t="str">
        <x:v>자연</x:v>
      </x:c>
      <x:c r="E59" s="9" t="str">
        <x:v>신성</x:v>
      </x:c>
      <x:c r="F59" s="9" t="str">
        <x:v>자연</x:v>
      </x:c>
      <x:c r="G59" s="9" t="str">
        <x:v>생명 감시</x:v>
      </x:c>
      <x:c r="H59" s="9" t="str">
        <x:v>가장 다친 전방 아군과 그 아군이 저지 중인 적을 연결해 적에게 피해를 주고 아군을 회복한다.</x:v>
      </x:c>
      <x:c r="I59" s="9" t="str">
        <x:v>전방 저지가 없으면 공격 효과가 없다</x:v>
      </x:c>
      <x:c r="J59" s="9" t="str">
        <x:v>자연 순환</x:v>
      </x:c>
      <x:c r="K59" s="12" t="n">
        <x:v>1</x:v>
      </x:c>
      <x:c r="L59" s="12" t="n">
        <x:v>1</x:v>
      </x:c>
      <x:c r="M59" s="12" t="n">
        <x:v>0</x:v>
      </x:c>
      <x:c r="N59" s="12" t="n">
        <x:v>2</x:v>
      </x:c>
      <x:c r="O59" s="12" t="n">
        <x:v>0</x:v>
      </x:c>
      <x:c r="P59" s="9" t="str">
        <x:v>1_1_0_2_0</x:v>
      </x:c>
      <x:c r="Q59" s="9" t="str">
        <x:v>SK_U3_11020</x:v>
      </x:c>
      <x:c r="R59" s="12" t="n">
        <x:f>SUM(K59:O59)</x:f>
        <x:v>4</x:v>
      </x:c>
    </x:row>
    <x:row r="60" ht="50" customHeight="1">
      <x:c r="A60" s="13" t="str">
        <x:v>U3_10120</x:v>
      </x:c>
      <x:c r="B60" s="13" t="str">
        <x:v>성당수호자</x:v>
      </x:c>
      <x:c r="C60" s="10" t="str">
        <x:v>긴급 보호</x:v>
      </x:c>
      <x:c r="D60" s="10" t="str">
        <x:v>신성</x:v>
      </x:c>
      <x:c r="E60" s="10" t="str">
        <x:v>궁정</x:v>
      </x:c>
      <x:c r="F60" s="10" t="str">
        <x:v>신성</x:v>
      </x:c>
      <x:c r="G60" s="10" t="str">
        <x:v>성당의 종</x:v>
      </x:c>
      <x:c r="H60" s="10" t="str">
        <x:v>주변 아군의 체력이 위기 기준 아래로 내려가면 보호막을 주고 지속 회복을 부여한다. 대상별 대기시간을 둔다.</x:v>
      </x:c>
      <x:c r="I60" s="10" t="str">
        <x:v>위기 기준을 건너뛰는 큰 피해에 약하다</x:v>
      </x:c>
      <x:c r="J60" s="10" t="str">
        <x:v>성역 유지</x:v>
      </x:c>
      <x:c r="K60" s="11" t="n">
        <x:v>1</x:v>
      </x:c>
      <x:c r="L60" s="11" t="n">
        <x:v>0</x:v>
      </x:c>
      <x:c r="M60" s="11" t="n">
        <x:v>1</x:v>
      </x:c>
      <x:c r="N60" s="11" t="n">
        <x:v>2</x:v>
      </x:c>
      <x:c r="O60" s="11" t="n">
        <x:v>0</x:v>
      </x:c>
      <x:c r="P60" s="10" t="str">
        <x:v>1_0_1_2_0</x:v>
      </x:c>
      <x:c r="Q60" s="10" t="str">
        <x:v>SK_U3_10120</x:v>
      </x:c>
      <x:c r="R60" s="11" t="n">
        <x:f>SUM(K60:O60)</x:f>
        <x:v>4</x:v>
      </x:c>
    </x:row>
    <x:row r="61" ht="50" customHeight="1">
      <x:c r="A61" s="14" t="str">
        <x:v>U3_10021</x:v>
      </x:c>
      <x:c r="B61" s="14" t="str">
        <x:v>설원구호기사</x:v>
      </x:c>
      <x:c r="C61" s="9" t="str">
        <x:v>전열 냉기 지원</x:v>
      </x:c>
      <x:c r="D61" s="9" t="str">
        <x:v>북방</x:v>
      </x:c>
      <x:c r="E61" s="9" t="str">
        <x:v>신성</x:v>
      </x:c>
      <x:c r="F61" s="9" t="str">
        <x:v>냉기</x:v>
      </x:c>
      <x:c r="G61" s="9" t="str">
        <x:v>설원 구호</x:v>
      </x:c>
      <x:c r="H61" s="9" t="str">
        <x:v>전방 아군을 회복하고 그 아군이 저지한 적에게 냉기 피해를 준다.</x:v>
      </x:c>
      <x:c r="I61" s="9" t="str">
        <x:v>후방 회복과 우회 적 대응에 약하다</x:v>
      </x:c>
      <x:c r="J61" s="9" t="str">
        <x:v>빙결 포격</x:v>
      </x:c>
      <x:c r="K61" s="12" t="n">
        <x:v>1</x:v>
      </x:c>
      <x:c r="L61" s="12" t="n">
        <x:v>0</x:v>
      </x:c>
      <x:c r="M61" s="12" t="n">
        <x:v>0</x:v>
      </x:c>
      <x:c r="N61" s="12" t="n">
        <x:v>2</x:v>
      </x:c>
      <x:c r="O61" s="12" t="n">
        <x:v>1</x:v>
      </x:c>
      <x:c r="P61" s="9" t="str">
        <x:v>1_0_0_2_1</x:v>
      </x:c>
      <x:c r="Q61" s="9" t="str">
        <x:v>SK_U3_10021</x:v>
      </x:c>
      <x:c r="R61" s="12" t="n">
        <x:f>SUM(K61:O61)</x:f>
        <x:v>4</x:v>
      </x:c>
    </x:row>
    <x:row r="62" ht="50" customHeight="1">
      <x:c r="A62" s="13" t="str">
        <x:v>U3_01120</x:v>
      </x:c>
      <x:c r="B62" s="13" t="str">
        <x:v>봄의 전도사</x:v>
      </x:c>
      <x:c r="C62" s="10" t="str">
        <x:v>표식 지속 회복</x:v>
      </x:c>
      <x:c r="D62" s="10" t="str">
        <x:v>자연</x:v>
      </x:c>
      <x:c r="E62" s="10" t="str">
        <x:v>신성</x:v>
      </x:c>
      <x:c r="F62" s="10" t="str">
        <x:v>자연</x:v>
      </x:c>
      <x:c r="G62" s="10" t="str">
        <x:v>봄의 축복</x:v>
      </x:c>
      <x:c r="H62" s="10" t="str">
        <x:v>표식 대상을 공격한 아군에게 지속 회복을 부여한다. 같은 아군의 효과는 중첩 대신 갱신한다.</x:v>
      </x:c>
      <x:c r="I62" s="10" t="str">
        <x:v>표식 공유와 지속 공격이 필요하다</x:v>
      </x:c>
      <x:c r="J62" s="10" t="str">
        <x:v>자연 순환</x:v>
      </x:c>
      <x:c r="K62" s="11" t="n">
        <x:v>0</x:v>
      </x:c>
      <x:c r="L62" s="11" t="n">
        <x:v>1</x:v>
      </x:c>
      <x:c r="M62" s="11" t="n">
        <x:v>1</x:v>
      </x:c>
      <x:c r="N62" s="11" t="n">
        <x:v>2</x:v>
      </x:c>
      <x:c r="O62" s="11" t="n">
        <x:v>0</x:v>
      </x:c>
      <x:c r="P62" s="10" t="str">
        <x:v>0_1_1_2_0</x:v>
      </x:c>
      <x:c r="Q62" s="10" t="str">
        <x:v>SK_U3_01120</x:v>
      </x:c>
      <x:c r="R62" s="11" t="n">
        <x:f>SUM(K62:O62)</x:f>
        <x:v>4</x:v>
      </x:c>
    </x:row>
    <x:row r="63" ht="50" customHeight="1">
      <x:c r="A63" s="14" t="str">
        <x:v>U3_01021</x:v>
      </x:c>
      <x:c r="B63" s="14" t="str">
        <x:v>서리숲 현자</x:v>
      </x:c>
      <x:c r="C63" s="9" t="str">
        <x:v>둔화 회복</x:v>
      </x:c>
      <x:c r="D63" s="9" t="str">
        <x:v>북방</x:v>
      </x:c>
      <x:c r="E63" s="9" t="str">
        <x:v>자연</x:v>
      </x:c>
      <x:c r="F63" s="9" t="str">
        <x:v>냉기</x:v>
      </x:c>
      <x:c r="G63" s="9" t="str">
        <x:v>서리의 이슬</x:v>
      </x:c>
      <x:c r="H63" s="9" t="str">
        <x:v>주변 둔화된 적 수에 따라 아군 회복량이 증가한다. 최대 반영 대상 수를 둔다.</x:v>
      </x:c>
      <x:c r="I63" s="9" t="str">
        <x:v>적이 적거나 제어 면역이면 효과가 낮다</x:v>
      </x:c>
      <x:c r="J63" s="9" t="str">
        <x:v>빙결 포격</x:v>
      </x:c>
      <x:c r="K63" s="12" t="n">
        <x:v>0</x:v>
      </x:c>
      <x:c r="L63" s="12" t="n">
        <x:v>1</x:v>
      </x:c>
      <x:c r="M63" s="12" t="n">
        <x:v>0</x:v>
      </x:c>
      <x:c r="N63" s="12" t="n">
        <x:v>2</x:v>
      </x:c>
      <x:c r="O63" s="12" t="n">
        <x:v>1</x:v>
      </x:c>
      <x:c r="P63" s="9" t="str">
        <x:v>0_1_0_2_1</x:v>
      </x:c>
      <x:c r="Q63" s="9" t="str">
        <x:v>SK_U3_01021</x:v>
      </x:c>
      <x:c r="R63" s="12" t="n">
        <x:f>SUM(K63:O63)</x:f>
        <x:v>4</x:v>
      </x:c>
    </x:row>
    <x:row r="64" ht="50" customHeight="1">
      <x:c r="A64" s="13" t="str">
        <x:v>U3_00121</x:v>
      </x:c>
      <x:c r="B64" s="13" t="str">
        <x:v>황혼성직자</x:v>
      </x:c>
      <x:c r="C64" s="10" t="str">
        <x:v>정화 회복 반격</x:v>
      </x:c>
      <x:c r="D64" s="10" t="str">
        <x:v>신성</x:v>
      </x:c>
      <x:c r="E64" s="10" t="str">
        <x:v>암영</x:v>
      </x:c>
      <x:c r="F64" s="10" t="str">
        <x:v>암흑</x:v>
      </x:c>
      <x:c r="G64" s="10" t="str">
        <x:v>황혼의 대가</x:v>
      </x:c>
      <x:c r="H64" s="10" t="str">
        <x:v>아군을 회복하고 해제 가능한 약화 효과 하나를 정화한다. 정화에 성공하면 그 효과를 부여한 적에게 암흑 피해를 준다.</x:v>
      </x:c>
      <x:c r="I64" s="10" t="str">
        <x:v>약화 효과가 없는 전투에서는 공격 기여가 낮다</x:v>
      </x:c>
      <x:c r="J64" s="10" t="str">
        <x:v>황혼 정화</x:v>
      </x:c>
      <x:c r="K64" s="11" t="n">
        <x:v>0</x:v>
      </x:c>
      <x:c r="L64" s="11" t="n">
        <x:v>0</x:v>
      </x:c>
      <x:c r="M64" s="11" t="n">
        <x:v>1</x:v>
      </x:c>
      <x:c r="N64" s="11" t="n">
        <x:v>2</x:v>
      </x:c>
      <x:c r="O64" s="11" t="n">
        <x:v>1</x:v>
      </x:c>
      <x:c r="P64" s="10" t="str">
        <x:v>0_0_1_2_1</x:v>
      </x:c>
      <x:c r="Q64" s="10" t="str">
        <x:v>SK_U3_00121</x:v>
      </x:c>
      <x:c r="R64" s="11" t="n">
        <x:f>SUM(K64:O64)</x:f>
        <x:v>4</x:v>
      </x:c>
    </x:row>
    <x:row r="65" ht="50" customHeight="1">
      <x:c r="A65" s="14" t="str">
        <x:v>U3_11002</x:v>
      </x:c>
      <x:c r="B65" s="14" t="str">
        <x:v>룬포격기사</x:v>
      </x:c>
      <x:c r="C65" s="9" t="str">
        <x:v>저지 연계 포격</x:v>
      </x:c>
      <x:c r="D65" s="9" t="str">
        <x:v>비전</x:v>
      </x:c>
      <x:c r="E65" s="9" t="str">
        <x:v>공학</x:v>
      </x:c>
      <x:c r="F65" s="9" t="str">
        <x:v>화염</x:v>
      </x:c>
      <x:c r="G65" s="9" t="str">
        <x:v>룬 포격</x:v>
      </x:c>
      <x:c r="H65" s="9" t="str">
        <x:v>아군이 저지한 적을 우선 포격하고 주변 적에게 화염 피해를 준다.</x:v>
      </x:c>
      <x:c r="I65" s="9" t="str">
        <x:v>전방이 무너지면 포격 효율이 낮아진다</x:v>
      </x:c>
      <x:c r="J65" s="9" t="str">
        <x:v>용광로 방어</x:v>
      </x:c>
      <x:c r="K65" s="12" t="n">
        <x:v>1</x:v>
      </x:c>
      <x:c r="L65" s="12" t="n">
        <x:v>1</x:v>
      </x:c>
      <x:c r="M65" s="12" t="n">
        <x:v>0</x:v>
      </x:c>
      <x:c r="N65" s="12" t="n">
        <x:v>0</x:v>
      </x:c>
      <x:c r="O65" s="12" t="n">
        <x:v>2</x:v>
      </x:c>
      <x:c r="P65" s="9" t="str">
        <x:v>1_1_0_0_2</x:v>
      </x:c>
      <x:c r="Q65" s="9" t="str">
        <x:v>SK_U3_11002</x:v>
      </x:c>
      <x:c r="R65" s="12" t="n">
        <x:f>SUM(K65:O65)</x:f>
        <x:v>4</x:v>
      </x:c>
    </x:row>
    <x:row r="66" ht="50" customHeight="1">
      <x:c r="A66" s="13" t="str">
        <x:v>U3_10102</x:v>
      </x:c>
      <x:c r="B66" s="13" t="str">
        <x:v>화염군주</x:v>
      </x:c>
      <x:c r="C66" s="10" t="str">
        <x:v>연소 지원</x:v>
      </x:c>
      <x:c r="D66" s="10" t="str">
        <x:v>비전</x:v>
      </x:c>
      <x:c r="E66" s="10" t="str">
        <x:v>용맹</x:v>
      </x:c>
      <x:c r="F66" s="10" t="str">
        <x:v>화염</x:v>
      </x:c>
      <x:c r="G66" s="10" t="str">
        <x:v>군주의 불꽃</x:v>
      </x:c>
      <x:c r="H66" s="10" t="str">
        <x:v>주변 아군의 직접 공격이 적에게 연소를 부여하게 한다. 연소는 갱신만 하며 같은 출처끼리 중첩되지 않는다.</x:v>
      </x:c>
      <x:c r="I66" s="10" t="str">
        <x:v>화염 약점이 없는 적에게 추가 효율이 낮다</x:v>
      </x:c>
      <x:c r="J66" s="10" t="str">
        <x:v>용광로 방어</x:v>
      </x:c>
      <x:c r="K66" s="11" t="n">
        <x:v>1</x:v>
      </x:c>
      <x:c r="L66" s="11" t="n">
        <x:v>0</x:v>
      </x:c>
      <x:c r="M66" s="11" t="n">
        <x:v>1</x:v>
      </x:c>
      <x:c r="N66" s="11" t="n">
        <x:v>0</x:v>
      </x:c>
      <x:c r="O66" s="11" t="n">
        <x:v>2</x:v>
      </x:c>
      <x:c r="P66" s="10" t="str">
        <x:v>1_0_1_0_2</x:v>
      </x:c>
      <x:c r="Q66" s="10" t="str">
        <x:v>SK_U3_10102</x:v>
      </x:c>
      <x:c r="R66" s="11" t="n">
        <x:f>SUM(K66:O66)</x:f>
        <x:v>4</x:v>
      </x:c>
    </x:row>
    <x:row r="67" ht="50" customHeight="1">
      <x:c r="A67" s="14" t="str">
        <x:v>U3_10012</x:v>
      </x:c>
      <x:c r="B67" s="14" t="str">
        <x:v>빙하수호자</x:v>
      </x:c>
      <x:c r="C67" s="9" t="str">
        <x:v>냉기 방어</x:v>
      </x:c>
      <x:c r="D67" s="9" t="str">
        <x:v>북방</x:v>
      </x:c>
      <x:c r="E67" s="9" t="str">
        <x:v>비전</x:v>
      </x:c>
      <x:c r="F67" s="9" t="str">
        <x:v>냉기</x:v>
      </x:c>
      <x:c r="G67" s="9" t="str">
        <x:v>빙하 방벽</x:v>
      </x:c>
      <x:c r="H67" s="9" t="str">
        <x:v>아군에게 보호막을 부여하고 보호막을 직접 공격한 적에게 냉기 반격을 한다. 발동 간격을 둔다.</x:v>
      </x:c>
      <x:c r="I67" s="9" t="str">
        <x:v>간접 피해와 우회 공격에 약하다</x:v>
      </x:c>
      <x:c r="J67" s="9" t="str">
        <x:v>빙결 포격</x:v>
      </x:c>
      <x:c r="K67" s="12" t="n">
        <x:v>1</x:v>
      </x:c>
      <x:c r="L67" s="12" t="n">
        <x:v>0</x:v>
      </x:c>
      <x:c r="M67" s="12" t="n">
        <x:v>0</x:v>
      </x:c>
      <x:c r="N67" s="12" t="n">
        <x:v>1</x:v>
      </x:c>
      <x:c r="O67" s="12" t="n">
        <x:v>2</x:v>
      </x:c>
      <x:c r="P67" s="9" t="str">
        <x:v>1_0_0_1_2</x:v>
      </x:c>
      <x:c r="Q67" s="9" t="str">
        <x:v>SK_U3_10012</x:v>
      </x:c>
      <x:c r="R67" s="12" t="n">
        <x:f>SUM(K67:O67)</x:f>
        <x:v>4</x:v>
      </x:c>
    </x:row>
    <x:row r="68" ht="50" customHeight="1">
      <x:c r="A68" s="13" t="str">
        <x:v>U3_01102</x:v>
      </x:c>
      <x:c r="B68" s="13" t="str">
        <x:v>폭풍지휘술사</x:v>
      </x:c>
      <x:c r="C68" s="10" t="str">
        <x:v>연쇄 번개</x:v>
      </x:c>
      <x:c r="D68" s="10" t="str">
        <x:v>비전</x:v>
      </x:c>
      <x:c r="E68" s="10" t="str">
        <x:v>공학</x:v>
      </x:c>
      <x:c r="F68" s="10" t="str">
        <x:v>번개</x:v>
      </x:c>
      <x:c r="G68" s="10" t="str">
        <x:v>폭풍 지휘</x:v>
      </x:c>
      <x:c r="H68" s="10" t="str">
        <x:v>강화 효과가 있는 원거리 아군의 공격을 충전해 일정 횟수마다 연쇄 번개를 발사한다. 연쇄로 재충전되지 않는다.</x:v>
      </x:c>
      <x:c r="I68" s="10" t="str">
        <x:v>원거리 공격수와 강화 공급이 모두 필요하다</x:v>
      </x:c>
      <x:c r="J68" s="10" t="str">
        <x:v>과충전 연사</x:v>
      </x:c>
      <x:c r="K68" s="11" t="n">
        <x:v>0</x:v>
      </x:c>
      <x:c r="L68" s="11" t="n">
        <x:v>1</x:v>
      </x:c>
      <x:c r="M68" s="11" t="n">
        <x:v>1</x:v>
      </x:c>
      <x:c r="N68" s="11" t="n">
        <x:v>0</x:v>
      </x:c>
      <x:c r="O68" s="11" t="n">
        <x:v>2</x:v>
      </x:c>
      <x:c r="P68" s="10" t="str">
        <x:v>0_1_1_0_2</x:v>
      </x:c>
      <x:c r="Q68" s="10" t="str">
        <x:v>SK_U3_01102</x:v>
      </x:c>
      <x:c r="R68" s="11" t="n">
        <x:f>SUM(K68:O68)</x:f>
        <x:v>4</x:v>
      </x:c>
    </x:row>
    <x:row r="69" ht="50" customHeight="1">
      <x:c r="A69" s="14" t="str">
        <x:v>U3_01012</x:v>
      </x:c>
      <x:c r="B69" s="14" t="str">
        <x:v>역병사냥꾼</x:v>
      </x:c>
      <x:c r="C69" s="9" t="str">
        <x:v>지속 피해</x:v>
      </x:c>
      <x:c r="D69" s="9" t="str">
        <x:v>암영</x:v>
      </x:c>
      <x:c r="E69" s="9" t="str">
        <x:v>자연</x:v>
      </x:c>
      <x:c r="F69" s="9" t="str">
        <x:v>자연</x:v>
      </x:c>
      <x:c r="G69" s="9" t="str">
        <x:v>역병 화살</x:v>
      </x:c>
      <x:c r="H69" s="9" t="str">
        <x:v>적에게 지속 피해 표식을 부여하고 사망 시 가장 가까운 다른 적에게 남은 표식을 전이한다. 전이 횟수 상한을 둔다.</x:v>
      </x:c>
      <x:c r="I69" s="9" t="str">
        <x:v>단일 보스와 지속 피해 해제에 약하다</x:v>
      </x:c>
      <x:c r="J69" s="9" t="str">
        <x:v>자연 순환</x:v>
      </x:c>
      <x:c r="K69" s="12" t="n">
        <x:v>0</x:v>
      </x:c>
      <x:c r="L69" s="12" t="n">
        <x:v>1</x:v>
      </x:c>
      <x:c r="M69" s="12" t="n">
        <x:v>0</x:v>
      </x:c>
      <x:c r="N69" s="12" t="n">
        <x:v>1</x:v>
      </x:c>
      <x:c r="O69" s="12" t="n">
        <x:v>2</x:v>
      </x:c>
      <x:c r="P69" s="9" t="str">
        <x:v>0_1_0_1_2</x:v>
      </x:c>
      <x:c r="Q69" s="9" t="str">
        <x:v>SK_U3_01012</x:v>
      </x:c>
      <x:c r="R69" s="12" t="n">
        <x:f>SUM(K69:O69)</x:f>
        <x:v>4</x:v>
      </x:c>
    </x:row>
    <x:row r="70" ht="50" customHeight="1">
      <x:c r="A70" s="13" t="str">
        <x:v>U3_00112</x:v>
      </x:c>
      <x:c r="B70" s="13" t="str">
        <x:v>황혼현자</x:v>
      </x:c>
      <x:c r="C70" s="10" t="str">
        <x:v>약화 연계 폭발</x:v>
      </x:c>
      <x:c r="D70" s="10" t="str">
        <x:v>암영</x:v>
      </x:c>
      <x:c r="E70" s="10" t="str">
        <x:v>비전</x:v>
      </x:c>
      <x:c r="F70" s="10" t="str">
        <x:v>암흑</x:v>
      </x:c>
      <x:c r="G70" s="10" t="str">
        <x:v>황혼 폭발</x:v>
      </x:c>
      <x:c r="H70" s="10" t="str">
        <x:v>약화 효과가 걸린 적에게 범위 암흑 피해를 준다. 피해량에는 적용 가능한 약화 종류 수만 상한 내 반영한다.</x:v>
      </x:c>
      <x:c r="I70" s="10" t="str">
        <x:v>약화 면역 적에게 추가 효과가 없다</x:v>
      </x:c>
      <x:c r="J70" s="10" t="str">
        <x:v>황혼 정화</x:v>
      </x:c>
      <x:c r="K70" s="11" t="n">
        <x:v>0</x:v>
      </x:c>
      <x:c r="L70" s="11" t="n">
        <x:v>0</x:v>
      </x:c>
      <x:c r="M70" s="11" t="n">
        <x:v>1</x:v>
      </x:c>
      <x:c r="N70" s="11" t="n">
        <x:v>1</x:v>
      </x:c>
      <x:c r="O70" s="11" t="n">
        <x:v>2</x:v>
      </x:c>
      <x:c r="P70" s="10" t="str">
        <x:v>0_0_1_1_2</x:v>
      </x:c>
      <x:c r="Q70" s="10" t="str">
        <x:v>SK_U3_00112</x:v>
      </x:c>
      <x:c r="R70" s="11" t="n">
        <x:f>SUM(K70:O70)</x:f>
        <x:v>4</x:v>
      </x:c>
    </x:row>
    <x:row r="71" ht="50" customHeight="1">
      <x:c r="A71" s="14" t="str">
        <x:v>U3_11110</x:v>
      </x:c>
      <x:c r="B71" s="14" t="str">
        <x:v>왕실성전대장</x:v>
      </x:c>
      <x:c r="C71" s="9" t="str">
        <x:v>복합 진형 지원</x:v>
      </x:c>
      <x:c r="D71" s="9" t="str">
        <x:v>궁정</x:v>
      </x:c>
      <x:c r="E71" s="9" t="str">
        <x:v>신성</x:v>
      </x:c>
      <x:c r="F71" s="9" t="str">
        <x:v>신성</x:v>
      </x:c>
      <x:c r="G71" s="9" t="str">
        <x:v>성전 명령</x:v>
      </x:c>
      <x:c r="H71" s="9" t="str">
        <x:v>앞쪽 아군에 보호막을 주고 뒤쪽 원거리 아군에게 공격속도 강화를 부여한다.</x:v>
      </x:c>
      <x:c r="I71" s="9" t="str">
        <x:v>지원 범위와 앞뒤 배치 조건이 까다롭다</x:v>
      </x:c>
      <x:c r="J71" s="9" t="str">
        <x:v>궁정 진형</x:v>
      </x:c>
      <x:c r="K71" s="12" t="n">
        <x:v>1</x:v>
      </x:c>
      <x:c r="L71" s="12" t="n">
        <x:v>1</x:v>
      </x:c>
      <x:c r="M71" s="12" t="n">
        <x:v>1</x:v>
      </x:c>
      <x:c r="N71" s="12" t="n">
        <x:v>1</x:v>
      </x:c>
      <x:c r="O71" s="12" t="n">
        <x:v>0</x:v>
      </x:c>
      <x:c r="P71" s="9" t="str">
        <x:v>1_1_1_1_0</x:v>
      </x:c>
      <x:c r="Q71" s="9" t="str">
        <x:v>SK_U3_11110</x:v>
      </x:c>
      <x:c r="R71" s="12" t="n">
        <x:f>SUM(K71:O71)</x:f>
        <x:v>4</x:v>
      </x:c>
    </x:row>
    <x:row r="72" ht="50" customHeight="1">
      <x:c r="A72" s="13" t="str">
        <x:v>U3_11101</x:v>
      </x:c>
      <x:c r="B72" s="13" t="str">
        <x:v>왕립전투현자</x:v>
      </x:c>
      <x:c r="C72" s="10" t="str">
        <x:v>약점 전열 지원</x:v>
      </x:c>
      <x:c r="D72" s="10" t="str">
        <x:v>궁정</x:v>
      </x:c>
      <x:c r="E72" s="10" t="str">
        <x:v>비전</x:v>
      </x:c>
      <x:c r="F72" s="10" t="str">
        <x:v>번개</x:v>
      </x:c>
      <x:c r="G72" s="10" t="str">
        <x:v>전투 해석</x:v>
      </x:c>
      <x:c r="H72" s="10" t="str">
        <x:v>자신이 저지한 적의 약점을 아군이 직접 공격하면 자신이 추가 번개 공격을 한다. 발동 간격을 둔다.</x:v>
      </x:c>
      <x:c r="I72" s="10" t="str">
        <x:v>저지와 약점 공격이 함께 필요하다</x:v>
      </x:c>
      <x:c r="J72" s="10" t="str">
        <x:v>약점 분석</x:v>
      </x:c>
      <x:c r="K72" s="11" t="n">
        <x:v>1</x:v>
      </x:c>
      <x:c r="L72" s="11" t="n">
        <x:v>1</x:v>
      </x:c>
      <x:c r="M72" s="11" t="n">
        <x:v>1</x:v>
      </x:c>
      <x:c r="N72" s="11" t="n">
        <x:v>0</x:v>
      </x:c>
      <x:c r="O72" s="11" t="n">
        <x:v>1</x:v>
      </x:c>
      <x:c r="P72" s="10" t="str">
        <x:v>1_1_1_0_1</x:v>
      </x:c>
      <x:c r="Q72" s="10" t="str">
        <x:v>SK_U3_11101</x:v>
      </x:c>
      <x:c r="R72" s="11" t="n">
        <x:f>SUM(K72:O72)</x:f>
        <x:v>4</x:v>
      </x:c>
    </x:row>
    <x:row r="73" ht="50" customHeight="1">
      <x:c r="A73" s="14" t="str">
        <x:v>U3_11011</x:v>
      </x:c>
      <x:c r="B73" s="14" t="str">
        <x:v>심판자</x:v>
      </x:c>
      <x:c r="C73" s="9" t="str">
        <x:v>전열 마무리</x:v>
      </x:c>
      <x:c r="D73" s="9" t="str">
        <x:v>신성</x:v>
      </x:c>
      <x:c r="E73" s="9" t="str">
        <x:v>비전</x:v>
      </x:c>
      <x:c r="F73" s="9" t="str">
        <x:v>신성</x:v>
      </x:c>
      <x:c r="G73" s="9" t="str">
        <x:v>최후의 심판</x:v>
      </x:c>
      <x:c r="H73" s="9" t="str">
        <x:v>체력 비율이 낮은 저지 중인 적을 우선 공격하고 주변에 신성 피해를 준다. 즉사 판정은 없다.</x:v>
      </x:c>
      <x:c r="I73" s="9" t="str">
        <x:v>저지 불가 적과 높은 체력의 적에 효율이 낮다</x:v>
      </x:c>
      <x:c r="J73" s="9" t="str">
        <x:v>성역 유지</x:v>
      </x:c>
      <x:c r="K73" s="12" t="n">
        <x:v>1</x:v>
      </x:c>
      <x:c r="L73" s="12" t="n">
        <x:v>1</x:v>
      </x:c>
      <x:c r="M73" s="12" t="n">
        <x:v>0</x:v>
      </x:c>
      <x:c r="N73" s="12" t="n">
        <x:v>1</x:v>
      </x:c>
      <x:c r="O73" s="12" t="n">
        <x:v>1</x:v>
      </x:c>
      <x:c r="P73" s="9" t="str">
        <x:v>1_1_0_1_1</x:v>
      </x:c>
      <x:c r="Q73" s="9" t="str">
        <x:v>SK_U3_11011</x:v>
      </x:c>
      <x:c r="R73" s="12" t="n">
        <x:f>SUM(K73:O73)</x:f>
        <x:v>4</x:v>
      </x:c>
    </x:row>
    <x:row r="74" ht="50" customHeight="1">
      <x:c r="A74" s="13" t="str">
        <x:v>U3_10111</x:v>
      </x:c>
      <x:c r="B74" s="13" t="str">
        <x:v>황혼수호사제</x:v>
      </x:c>
      <x:c r="C74" s="10" t="str">
        <x:v>보호 정화</x:v>
      </x:c>
      <x:c r="D74" s="10" t="str">
        <x:v>신성</x:v>
      </x:c>
      <x:c r="E74" s="10" t="str">
        <x:v>암영</x:v>
      </x:c>
      <x:c r="F74" s="10" t="str">
        <x:v>암흑</x:v>
      </x:c>
      <x:c r="G74" s="10" t="str">
        <x:v>황혼 방벽</x:v>
      </x:c>
      <x:c r="H74" s="10" t="str">
        <x:v>전방 아군을 정화하고 보호막을 준다. 정화 성공 시 주변 적에게 암흑 피해를 준다.</x:v>
      </x:c>
      <x:c r="I74" s="10" t="str">
        <x:v>약화 효과가 없으면 공격 효과가 발동하지 않는다</x:v>
      </x:c>
      <x:c r="J74" s="10" t="str">
        <x:v>황혼 정화</x:v>
      </x:c>
      <x:c r="K74" s="11" t="n">
        <x:v>1</x:v>
      </x:c>
      <x:c r="L74" s="11" t="n">
        <x:v>0</x:v>
      </x:c>
      <x:c r="M74" s="11" t="n">
        <x:v>1</x:v>
      </x:c>
      <x:c r="N74" s="11" t="n">
        <x:v>1</x:v>
      </x:c>
      <x:c r="O74" s="11" t="n">
        <x:v>1</x:v>
      </x:c>
      <x:c r="P74" s="10" t="str">
        <x:v>1_0_1_1_1</x:v>
      </x:c>
      <x:c r="Q74" s="10" t="str">
        <x:v>SK_U3_10111</x:v>
      </x:c>
      <x:c r="R74" s="11" t="n">
        <x:f>SUM(K74:O74)</x:f>
        <x:v>4</x:v>
      </x:c>
    </x:row>
    <x:row r="75" ht="50" customHeight="1">
      <x:c r="A75" s="14" t="str">
        <x:v>U3_01111</x:v>
      </x:c>
      <x:c r="B75" s="14" t="str">
        <x:v>세계수의 전령</x:v>
      </x:c>
      <x:c r="C75" s="9" t="str">
        <x:v>표식 순환</x:v>
      </x:c>
      <x:c r="D75" s="9" t="str">
        <x:v>자연</x:v>
      </x:c>
      <x:c r="E75" s="9" t="str">
        <x:v>비전</x:v>
      </x:c>
      <x:c r="F75" s="9" t="str">
        <x:v>자연</x:v>
      </x:c>
      <x:c r="G75" s="9" t="str">
        <x:v>순환의 씨앗</x:v>
      </x:c>
      <x:c r="H75" s="9" t="str">
        <x:v>표식 대상 사망 시 아군을 회복하고 주변 적에게 자연 피해를 준다. 이 추가 피해로는 같은 효과가 연쇄 발동하지 않는다.</x:v>
      </x:c>
      <x:c r="I75" s="9" t="str">
        <x:v>단일 보스전에서 능력 발동이 드물다</x:v>
      </x:c>
      <x:c r="J75" s="9" t="str">
        <x:v>자연 순환</x:v>
      </x:c>
      <x:c r="K75" s="12" t="n">
        <x:v>0</x:v>
      </x:c>
      <x:c r="L75" s="12" t="n">
        <x:v>1</x:v>
      </x:c>
      <x:c r="M75" s="12" t="n">
        <x:v>1</x:v>
      </x:c>
      <x:c r="N75" s="12" t="n">
        <x:v>1</x:v>
      </x:c>
      <x:c r="O75" s="12" t="n">
        <x:v>1</x:v>
      </x:c>
      <x:c r="P75" s="9" t="str">
        <x:v>0_1_1_1_1</x:v>
      </x:c>
      <x:c r="Q75" s="9" t="str">
        <x:v>SK_U3_01111</x:v>
      </x:c>
      <x:c r="R75" s="12" t="n">
        <x:f>SUM(K75:O75)</x:f>
        <x:v>4</x:v>
      </x:c>
    </x:row>
  </x:sheetData>
  <x:dataValidations count="2">
    <x:dataValidation type="list" sqref="D6:E75">
      <x:formula1>"궁정,신성,비전,자연,공학,암영,북방,용맹"</x:formula1>
    </x:dataValidation>
    <x:dataValidation type="list" sqref="F6:F75">
      <x:formula1>"물리,화염,냉기,번개,신성,암흑,자연"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ea342793654d8f"/>
  </x:tableParts>
</x:worksheet>
</file>

<file path=xl/worksheets/sheet3.xml><?xml version="1.0" encoding="utf-8"?>
<x:worksheet xmlns:x="http://schemas.openxmlformats.org/spreadsheetml/2006/main">
  <x:sheetPr>
    <x:tabColor rgb="FF305E6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72" hidden="0" customWidth="1"/>
    <x:col min="9" max="9" width="46" hidden="0" customWidth="1"/>
    <x:col min="10" max="10" width="2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8" hidden="0" customWidth="1"/>
    <x:col min="17" max="17" width="23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기본 5종 및 2티어 15종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4" t="str">
        <x:v>테마는 편성 시너지, 공격속성은 몬스터 약점 판정에 사용. 오른쪽 직업 수가 합성 결과의 기준.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8" t="str">
        <x:v>유닛 ID</x:v>
      </x:c>
      <x:c r="B5" s="8" t="str">
        <x:v>유닛명</x:v>
      </x:c>
      <x:c r="C5" s="8" t="str">
        <x:v>역할</x:v>
      </x:c>
      <x:c r="D5" s="8" t="str">
        <x:v>테마 1</x:v>
      </x:c>
      <x:c r="E5" s="8" t="str">
        <x:v>테마 2</x:v>
      </x:c>
      <x:c r="F5" s="8" t="str">
        <x:v>공격속성</x:v>
      </x:c>
      <x:c r="G5" s="8" t="str">
        <x:v>능력명</x:v>
      </x:c>
      <x:c r="H5" s="8" t="str">
        <x:v>능력 설명</x:v>
      </x:c>
      <x:c r="I5" s="8" t="str">
        <x:v>약점·제약</x:v>
      </x:c>
      <x:c r="J5" s="8" t="str">
        <x:v>추천 빌드</x:v>
      </x:c>
      <x:c r="K5" s="8" t="str">
        <x:v>기사 수</x:v>
      </x:c>
      <x:c r="L5" s="8" t="str">
        <x:v>궁수 수</x:v>
      </x:c>
      <x:c r="M5" s="8" t="str">
        <x:v>버퍼 수</x:v>
      </x:c>
      <x:c r="N5" s="8" t="str">
        <x:v>힐러 수</x:v>
      </x:c>
      <x:c r="O5" s="8" t="str">
        <x:v>마법사 수</x:v>
      </x:c>
      <x:c r="P5" s="8" t="str">
        <x:v>구성 키</x:v>
      </x:c>
      <x:c r="Q5" s="8" t="str">
        <x:v>능력 ID</x:v>
      </x:c>
      <x:c r="R5" s="8" t="str">
        <x:v>기본 재료 수</x:v>
      </x:c>
    </x:row>
    <x:row r="6" ht="50" customHeight="1">
      <x:c r="A6" s="13" t="str">
        <x:v>U1_10000</x:v>
      </x:c>
      <x:c r="B6" s="13" t="str">
        <x:v>기사</x:v>
      </x:c>
      <x:c r="C6" s="10" t="str">
        <x:v>전방 저지</x:v>
      </x:c>
      <x:c r="D6" s="10" t="str">
        <x:v>궁정</x:v>
      </x:c>
      <x:c r="E6" s="10" t="str">
        <x:v>용맹</x:v>
      </x:c>
      <x:c r="F6" s="10" t="str">
        <x:v>물리</x:v>
      </x:c>
      <x:c r="G6" s="10" t="str">
        <x:v>방패 들기</x:v>
      </x:c>
      <x:c r="H6" s="10" t="str">
        <x:v>적과 교전하는 동안 자신에게 가해지는 정면 공격 피해를 줄인다.</x:v>
      </x:c>
      <x:c r="I6" s="10" t="str">
        <x:v>원거리 우회 공격에 취약</x:v>
      </x:c>
      <x:c r="J6" s="10" t="str">
        <x:v>철벽 사격</x:v>
      </x:c>
      <x:c r="K6" s="11" t="n">
        <x:v>1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0" t="str">
        <x:v>1_0_0_0_0</x:v>
      </x:c>
      <x:c r="Q6" s="10" t="str">
        <x:v>SK_U1_10000</x:v>
      </x:c>
      <x:c r="R6" s="11" t="n">
        <x:f>SUM(K6:O6)</x:f>
        <x:v>1</x:v>
      </x:c>
    </x:row>
    <x:row r="7" ht="50" customHeight="1">
      <x:c r="A7" s="14" t="str">
        <x:v>U1_01000</x:v>
      </x:c>
      <x:c r="B7" s="14" t="str">
        <x:v>궁수</x:v>
      </x:c>
      <x:c r="C7" s="9" t="str">
        <x:v>단일 지속 공격</x:v>
      </x:c>
      <x:c r="D7" s="9" t="str">
        <x:v>자연</x:v>
      </x:c>
      <x:c r="E7" s="9" t="str">
        <x:v>용맹</x:v>
      </x:c>
      <x:c r="F7" s="9" t="str">
        <x:v>물리</x:v>
      </x:c>
      <x:c r="G7" s="9" t="str">
        <x:v>조준</x:v>
      </x:c>
      <x:c r="H7" s="9" t="str">
        <x:v>동일 대상을 연속 공격하면 조준 중첩을 얻고 대상 변경 시 초기화된다.</x:v>
      </x:c>
      <x:c r="I7" s="9" t="str">
        <x:v>여러 적을 동시에 처리하기 어렵다</x:v>
      </x:c>
      <x:c r="J7" s="9" t="str">
        <x:v>철벽 사격</x:v>
      </x:c>
      <x:c r="K7" s="12" t="n">
        <x:v>0</x:v>
      </x:c>
      <x:c r="L7" s="12" t="n">
        <x:v>1</x:v>
      </x:c>
      <x:c r="M7" s="12" t="n">
        <x:v>0</x:v>
      </x:c>
      <x:c r="N7" s="12" t="n">
        <x:v>0</x:v>
      </x:c>
      <x:c r="O7" s="12" t="n">
        <x:v>0</x:v>
      </x:c>
      <x:c r="P7" s="9" t="str">
        <x:v>0_1_0_0_0</x:v>
      </x:c>
      <x:c r="Q7" s="9" t="str">
        <x:v>SK_U1_01000</x:v>
      </x:c>
      <x:c r="R7" s="12" t="n">
        <x:f>SUM(K7:O7)</x:f>
        <x:v>1</x:v>
      </x:c>
    </x:row>
    <x:row r="8" ht="50" customHeight="1">
      <x:c r="A8" s="13" t="str">
        <x:v>U1_00100</x:v>
      </x:c>
      <x:c r="B8" s="13" t="str">
        <x:v>버퍼</x:v>
      </x:c>
      <x:c r="C8" s="10" t="str">
        <x:v>공격 지원</x:v>
      </x:c>
      <x:c r="D8" s="10" t="str">
        <x:v>궁정</x:v>
      </x:c>
      <x:c r="E8" s="10" t="str">
        <x:v>비전</x:v>
      </x:c>
      <x:c r="F8" s="10" t="str">
        <x:v>물리</x:v>
      </x:c>
      <x:c r="G8" s="10" t="str">
        <x:v>격려</x:v>
      </x:c>
      <x:c r="H8" s="10" t="str">
        <x:v>주변 아군의 공격력을 높인다. 동일 스킬은 가장 높은 효과만 적용한다.</x:v>
      </x:c>
      <x:c r="I8" s="10" t="str">
        <x:v>단독 전투력이 낮다</x:v>
      </x:c>
      <x:c r="J8" s="10" t="str">
        <x:v>과충전 연사</x:v>
      </x:c>
      <x:c r="K8" s="11" t="n">
        <x:v>0</x:v>
      </x:c>
      <x:c r="L8" s="11" t="n">
        <x:v>0</x:v>
      </x:c>
      <x:c r="M8" s="11" t="n">
        <x:v>1</x:v>
      </x:c>
      <x:c r="N8" s="11" t="n">
        <x:v>0</x:v>
      </x:c>
      <x:c r="O8" s="11" t="n">
        <x:v>0</x:v>
      </x:c>
      <x:c r="P8" s="10" t="str">
        <x:v>0_0_1_0_0</x:v>
      </x:c>
      <x:c r="Q8" s="10" t="str">
        <x:v>SK_U1_00100</x:v>
      </x:c>
      <x:c r="R8" s="11" t="n">
        <x:f>SUM(K8:O8)</x:f>
        <x:v>1</x:v>
      </x:c>
    </x:row>
    <x:row r="9" ht="50" customHeight="1">
      <x:c r="A9" s="14" t="str">
        <x:v>U1_00010</x:v>
      </x:c>
      <x:c r="B9" s="14" t="str">
        <x:v>힐러</x:v>
      </x:c>
      <x:c r="C9" s="9" t="str">
        <x:v>단일 회복</x:v>
      </x:c>
      <x:c r="D9" s="9" t="str">
        <x:v>신성</x:v>
      </x:c>
      <x:c r="E9" s="9" t="str">
        <x:v>자연</x:v>
      </x:c>
      <x:c r="F9" s="9" t="str">
        <x:v>신성</x:v>
      </x:c>
      <x:c r="G9" s="9" t="str">
        <x:v>응급 치료</x:v>
      </x:c>
      <x:c r="H9" s="9" t="str">
        <x:v>주변에서 체력 비율이 가장 낮은 아군을 회복한다.</x:v>
      </x:c>
      <x:c r="I9" s="9" t="str">
        <x:v>순간 피해와 회복 감소에 취약</x:v>
      </x:c>
      <x:c r="J9" s="9" t="str">
        <x:v>성역 유지</x:v>
      </x:c>
      <x:c r="K9" s="12" t="n">
        <x:v>0</x:v>
      </x:c>
      <x:c r="L9" s="12" t="n">
        <x:v>0</x:v>
      </x:c>
      <x:c r="M9" s="12" t="n">
        <x:v>0</x:v>
      </x:c>
      <x:c r="N9" s="12" t="n">
        <x:v>1</x:v>
      </x:c>
      <x:c r="O9" s="12" t="n">
        <x:v>0</x:v>
      </x:c>
      <x:c r="P9" s="9" t="str">
        <x:v>0_0_0_1_0</x:v>
      </x:c>
      <x:c r="Q9" s="9" t="str">
        <x:v>SK_U1_00010</x:v>
      </x:c>
      <x:c r="R9" s="12" t="n">
        <x:f>SUM(K9:O9)</x:f>
        <x:v>1</x:v>
      </x:c>
    </x:row>
    <x:row r="10" ht="50" customHeight="1">
      <x:c r="A10" s="13" t="str">
        <x:v>U1_00001</x:v>
      </x:c>
      <x:c r="B10" s="13" t="str">
        <x:v>마법사</x:v>
      </x:c>
      <x:c r="C10" s="10" t="str">
        <x:v>범위 공격</x:v>
      </x:c>
      <x:c r="D10" s="10" t="str">
        <x:v>비전</x:v>
      </x:c>
      <x:c r="E10" s="10" t="str">
        <x:v>공학</x:v>
      </x:c>
      <x:c r="F10" s="10" t="str">
        <x:v>화염</x:v>
      </x:c>
      <x:c r="G10" s="10" t="str">
        <x:v>화염구</x:v>
      </x:c>
      <x:c r="H10" s="10" t="str">
        <x:v>목표 주변의 적에게 범위 피해를 준다.</x:v>
      </x:c>
      <x:c r="I10" s="10" t="str">
        <x:v>공격 간격이 길다</x:v>
      </x:c>
      <x:c r="J10" s="10" t="str">
        <x:v>빙결 포격</x:v>
      </x:c>
      <x:c r="K10" s="11" t="n">
        <x:v>0</x:v>
      </x:c>
      <x:c r="L10" s="11" t="n">
        <x:v>0</x:v>
      </x:c>
      <x:c r="M10" s="11" t="n">
        <x:v>0</x:v>
      </x:c>
      <x:c r="N10" s="11" t="n">
        <x:v>0</x:v>
      </x:c>
      <x:c r="O10" s="11" t="n">
        <x:v>1</x:v>
      </x:c>
      <x:c r="P10" s="10" t="str">
        <x:v>0_0_0_0_1</x:v>
      </x:c>
      <x:c r="Q10" s="10" t="str">
        <x:v>SK_U1_00001</x:v>
      </x:c>
      <x:c r="R10" s="11" t="n">
        <x:f>SUM(K10:O10)</x:f>
        <x:v>1</x:v>
      </x:c>
    </x:row>
    <x:row r="11" ht="50" customHeight="1">
      <x:c r="A11" s="14" t="str">
        <x:v>U2_20000</x:v>
      </x:c>
      <x:c r="B11" s="14" t="str">
        <x:v>중갑병</x:v>
      </x:c>
      <x:c r="C11" s="9" t="str">
        <x:v>다중 저지</x:v>
      </x:c>
      <x:c r="D11" s="9" t="str">
        <x:v>궁정</x:v>
      </x:c>
      <x:c r="E11" s="9" t="str">
        <x:v>용맹</x:v>
      </x:c>
      <x:c r="F11" s="9" t="str">
        <x:v>물리</x:v>
      </x:c>
      <x:c r="G11" s="9" t="str">
        <x:v>방패벽</x:v>
      </x:c>
      <x:c r="H11" s="9" t="str">
        <x:v>여러 적을 저지하며 저지 중 받는 피해를 줄인다.</x:v>
      </x:c>
      <x:c r="I11" s="9" t="str">
        <x:v>마법 집중 공격에 취약</x:v>
      </x:c>
      <x:c r="J11" s="9" t="str">
        <x:v>철벽 사격</x:v>
      </x:c>
      <x:c r="K11" s="12" t="n">
        <x:v>2</x:v>
      </x:c>
      <x:c r="L11" s="12" t="n">
        <x:v>0</x:v>
      </x:c>
      <x:c r="M11" s="12" t="n">
        <x:v>0</x:v>
      </x:c>
      <x:c r="N11" s="12" t="n">
        <x:v>0</x:v>
      </x:c>
      <x:c r="O11" s="12" t="n">
        <x:v>0</x:v>
      </x:c>
      <x:c r="P11" s="9" t="str">
        <x:v>2_0_0_0_0</x:v>
      </x:c>
      <x:c r="Q11" s="9" t="str">
        <x:v>SK_U2_20000</x:v>
      </x:c>
      <x:c r="R11" s="12" t="n">
        <x:f>SUM(K11:O11)</x:f>
        <x:v>2</x:v>
      </x:c>
    </x:row>
    <x:row r="12" ht="50" customHeight="1">
      <x:c r="A12" s="13" t="str">
        <x:v>U2_11000</x:v>
      </x:c>
      <x:c r="B12" s="13" t="str">
        <x:v>척후병</x:v>
      </x:c>
      <x:c r="C12" s="10" t="str">
        <x:v>밀치기</x:v>
      </x:c>
      <x:c r="D12" s="10" t="str">
        <x:v>용맹</x:v>
      </x:c>
      <x:c r="E12" s="10" t="str">
        <x:v>자연</x:v>
      </x:c>
      <x:c r="F12" s="10" t="str">
        <x:v>물리</x:v>
      </x:c>
      <x:c r="G12" s="10" t="str">
        <x:v>견제 사격</x:v>
      </x:c>
      <x:c r="H12" s="10" t="str">
        <x:v>가장 가까운 적을 진입 반대 방향으로 밀어낸다. 보스에게는 밀치기를 적용하지 않는다.</x:v>
      </x:c>
      <x:c r="I12" s="10" t="str">
        <x:v>밀치기 면역 적에게 제어력이 낮다</x:v>
      </x:c>
      <x:c r="J12" s="10" t="str">
        <x:v>관통 사격</x:v>
      </x:c>
      <x:c r="K12" s="11" t="n">
        <x:v>1</x:v>
      </x:c>
      <x:c r="L12" s="11" t="n">
        <x:v>1</x:v>
      </x:c>
      <x:c r="M12" s="11" t="n">
        <x:v>0</x:v>
      </x:c>
      <x:c r="N12" s="11" t="n">
        <x:v>0</x:v>
      </x:c>
      <x:c r="O12" s="11" t="n">
        <x:v>0</x:v>
      </x:c>
      <x:c r="P12" s="10" t="str">
        <x:v>1_1_0_0_0</x:v>
      </x:c>
      <x:c r="Q12" s="10" t="str">
        <x:v>SK_U2_11000</x:v>
      </x:c>
      <x:c r="R12" s="11" t="n">
        <x:f>SUM(K12:O12)</x:f>
        <x:v>2</x:v>
      </x:c>
    </x:row>
    <x:row r="13" ht="50" customHeight="1">
      <x:c r="A13" s="14" t="str">
        <x:v>U2_10100</x:v>
      </x:c>
      <x:c r="B13" s="14" t="str">
        <x:v>지휘관</x:v>
      </x:c>
      <x:c r="C13" s="9" t="str">
        <x:v>보호 지원</x:v>
      </x:c>
      <x:c r="D13" s="9" t="str">
        <x:v>궁정</x:v>
      </x:c>
      <x:c r="E13" s="9" t="str">
        <x:v>용맹</x:v>
      </x:c>
      <x:c r="F13" s="9" t="str">
        <x:v>물리</x:v>
      </x:c>
      <x:c r="G13" s="9" t="str">
        <x:v>방어진형</x:v>
      </x:c>
      <x:c r="H13" s="9" t="str">
        <x:v>주변 아군에게 시간제 보호막을 부여한다. 같은 스킬 보호막은 중첩 대신 갱신한다.</x:v>
      </x:c>
      <x:c r="I13" s="9" t="str">
        <x:v>보호막 파괴 적에 취약</x:v>
      </x:c>
      <x:c r="J13" s="9" t="str">
        <x:v>철벽 사격</x:v>
      </x:c>
      <x:c r="K13" s="12" t="n">
        <x:v>1</x:v>
      </x:c>
      <x:c r="L13" s="12" t="n">
        <x:v>0</x:v>
      </x:c>
      <x:c r="M13" s="12" t="n">
        <x:v>1</x:v>
      </x:c>
      <x:c r="N13" s="12" t="n">
        <x:v>0</x:v>
      </x:c>
      <x:c r="O13" s="12" t="n">
        <x:v>0</x:v>
      </x:c>
      <x:c r="P13" s="9" t="str">
        <x:v>1_0_1_0_0</x:v>
      </x:c>
      <x:c r="Q13" s="9" t="str">
        <x:v>SK_U2_10100</x:v>
      </x:c>
      <x:c r="R13" s="12" t="n">
        <x:f>SUM(K13:O13)</x:f>
        <x:v>2</x:v>
      </x:c>
    </x:row>
    <x:row r="14" ht="50" customHeight="1">
      <x:c r="A14" s="13" t="str">
        <x:v>U2_10010</x:v>
      </x:c>
      <x:c r="B14" s="13" t="str">
        <x:v>성기사</x:v>
      </x:c>
      <x:c r="C14" s="10" t="str">
        <x:v>회복 저지</x:v>
      </x:c>
      <x:c r="D14" s="10" t="str">
        <x:v>신성</x:v>
      </x:c>
      <x:c r="E14" s="10" t="str">
        <x:v>궁정</x:v>
      </x:c>
      <x:c r="F14" s="10" t="str">
        <x:v>신성</x:v>
      </x:c>
      <x:c r="G14" s="10" t="str">
        <x:v>작은 성역</x:v>
      </x:c>
      <x:c r="H14" s="10" t="str">
        <x:v>자신과 가장 가까운 아군을 함께 회복한다.</x:v>
      </x:c>
      <x:c r="I14" s="10" t="str">
        <x:v>전담 탱커보다 저지 성능이 낮다</x:v>
      </x:c>
      <x:c r="J14" s="10" t="str">
        <x:v>성역 유지</x:v>
      </x:c>
      <x:c r="K14" s="11" t="n">
        <x:v>1</x:v>
      </x:c>
      <x:c r="L14" s="11" t="n">
        <x:v>0</x:v>
      </x:c>
      <x:c r="M14" s="11" t="n">
        <x:v>0</x:v>
      </x:c>
      <x:c r="N14" s="11" t="n">
        <x:v>1</x:v>
      </x:c>
      <x:c r="O14" s="11" t="n">
        <x:v>0</x:v>
      </x:c>
      <x:c r="P14" s="10" t="str">
        <x:v>1_0_0_1_0</x:v>
      </x:c>
      <x:c r="Q14" s="10" t="str">
        <x:v>SK_U2_10010</x:v>
      </x:c>
      <x:c r="R14" s="11" t="n">
        <x:f>SUM(K14:O14)</x:f>
        <x:v>2</x:v>
      </x:c>
    </x:row>
    <x:row r="15" ht="50" customHeight="1">
      <x:c r="A15" s="14" t="str">
        <x:v>U2_10001</x:v>
      </x:c>
      <x:c r="B15" s="14" t="str">
        <x:v>마검사</x:v>
      </x:c>
      <x:c r="C15" s="9" t="str">
        <x:v>근접 범위 공격</x:v>
      </x:c>
      <x:c r="D15" s="9" t="str">
        <x:v>비전</x:v>
      </x:c>
      <x:c r="E15" s="9" t="str">
        <x:v>용맹</x:v>
      </x:c>
      <x:c r="F15" s="9" t="str">
        <x:v>화염</x:v>
      </x:c>
      <x:c r="G15" s="9" t="str">
        <x:v>화염 검격</x:v>
      </x:c>
      <x:c r="H15" s="9" t="str">
        <x:v>전방의 적에게 부채꼴 화염 피해를 준다.</x:v>
      </x:c>
      <x:c r="I15" s="9" t="str">
        <x:v>근접 교전이 필요하다</x:v>
      </x:c>
      <x:c r="J15" s="9" t="str">
        <x:v>빙결 포격</x:v>
      </x:c>
      <x:c r="K15" s="12" t="n">
        <x:v>1</x:v>
      </x:c>
      <x:c r="L15" s="12" t="n">
        <x:v>0</x:v>
      </x:c>
      <x:c r="M15" s="12" t="n">
        <x:v>0</x:v>
      </x:c>
      <x:c r="N15" s="12" t="n">
        <x:v>0</x:v>
      </x:c>
      <x:c r="O15" s="12" t="n">
        <x:v>1</x:v>
      </x:c>
      <x:c r="P15" s="9" t="str">
        <x:v>1_0_0_0_1</x:v>
      </x:c>
      <x:c r="Q15" s="9" t="str">
        <x:v>SK_U2_10001</x:v>
      </x:c>
      <x:c r="R15" s="12" t="n">
        <x:f>SUM(K15:O15)</x:f>
        <x:v>2</x:v>
      </x:c>
    </x:row>
    <x:row r="16" ht="50" customHeight="1">
      <x:c r="A16" s="13" t="str">
        <x:v>U2_02000</x:v>
      </x:c>
      <x:c r="B16" s="13" t="str">
        <x:v>명사수</x:v>
      </x:c>
      <x:c r="C16" s="10" t="str">
        <x:v>보스 집중 공격</x:v>
      </x:c>
      <x:c r="D16" s="10" t="str">
        <x:v>자연</x:v>
      </x:c>
      <x:c r="E16" s="10" t="str">
        <x:v>궁정</x:v>
      </x:c>
      <x:c r="F16" s="10" t="str">
        <x:v>물리</x:v>
      </x:c>
      <x:c r="G16" s="10" t="str">
        <x:v>집중 사격</x:v>
      </x:c>
      <x:c r="H16" s="10" t="str">
        <x:v>동일 대상을 연속 공격할수록 피해가 증가하며 대상 변경 시 초기화된다.</x:v>
      </x:c>
      <x:c r="I16" s="10" t="str">
        <x:v>빈번한 목표 변경에 취약</x:v>
      </x:c>
      <x:c r="J16" s="10" t="str">
        <x:v>철벽 사격</x:v>
      </x:c>
      <x:c r="K16" s="11" t="n">
        <x:v>0</x:v>
      </x:c>
      <x:c r="L16" s="11" t="n">
        <x:v>2</x:v>
      </x:c>
      <x:c r="M16" s="11" t="n">
        <x:v>0</x:v>
      </x:c>
      <x:c r="N16" s="11" t="n">
        <x:v>0</x:v>
      </x:c>
      <x:c r="O16" s="11" t="n">
        <x:v>0</x:v>
      </x:c>
      <x:c r="P16" s="10" t="str">
        <x:v>0_2_0_0_0</x:v>
      </x:c>
      <x:c r="Q16" s="10" t="str">
        <x:v>SK_U2_02000</x:v>
      </x:c>
      <x:c r="R16" s="11" t="n">
        <x:f>SUM(K16:O16)</x:f>
        <x:v>2</x:v>
      </x:c>
    </x:row>
    <x:row r="17" ht="50" customHeight="1">
      <x:c r="A17" s="14" t="str">
        <x:v>U2_01100</x:v>
      </x:c>
      <x:c r="B17" s="14" t="str">
        <x:v>군악궁수</x:v>
      </x:c>
      <x:c r="C17" s="9" t="str">
        <x:v>원거리 지원</x:v>
      </x:c>
      <x:c r="D17" s="9" t="str">
        <x:v>궁정</x:v>
      </x:c>
      <x:c r="E17" s="9" t="str">
        <x:v>용맹</x:v>
      </x:c>
      <x:c r="F17" s="9" t="str">
        <x:v>물리</x:v>
      </x:c>
      <x:c r="G17" s="9" t="str">
        <x:v>진군의 선율</x:v>
      </x:c>
      <x:c r="H17" s="9" t="str">
        <x:v>주변 원거리 유닛의 공격속도를 높인다. 동일 스킬은 가장 높은 효과만 적용한다.</x:v>
      </x:c>
      <x:c r="I17" s="9" t="str">
        <x:v>근접 중심 편성에서는 효율이 낮다</x:v>
      </x:c>
      <x:c r="J17" s="9" t="str">
        <x:v>과충전 연사</x:v>
      </x:c>
      <x:c r="K17" s="12" t="n">
        <x:v>0</x:v>
      </x:c>
      <x:c r="L17" s="12" t="n">
        <x:v>1</x:v>
      </x:c>
      <x:c r="M17" s="12" t="n">
        <x:v>1</x:v>
      </x:c>
      <x:c r="N17" s="12" t="n">
        <x:v>0</x:v>
      </x:c>
      <x:c r="O17" s="12" t="n">
        <x:v>0</x:v>
      </x:c>
      <x:c r="P17" s="9" t="str">
        <x:v>0_1_1_0_0</x:v>
      </x:c>
      <x:c r="Q17" s="9" t="str">
        <x:v>SK_U2_01100</x:v>
      </x:c>
      <x:c r="R17" s="12" t="n">
        <x:f>SUM(K17:O17)</x:f>
        <x:v>2</x:v>
      </x:c>
    </x:row>
    <x:row r="18" ht="50" customHeight="1">
      <x:c r="A18" s="13" t="str">
        <x:v>U2_01010</x:v>
      </x:c>
      <x:c r="B18" s="13" t="str">
        <x:v>숲지기</x:v>
      </x:c>
      <x:c r="C18" s="10" t="str">
        <x:v>공격 회복 지원</x:v>
      </x:c>
      <x:c r="D18" s="10" t="str">
        <x:v>자연</x:v>
      </x:c>
      <x:c r="E18" s="10" t="str">
        <x:v>신성</x:v>
      </x:c>
      <x:c r="F18" s="10" t="str">
        <x:v>자연</x:v>
      </x:c>
      <x:c r="G18" s="10" t="str">
        <x:v>생명의 표식</x:v>
      </x:c>
      <x:c r="H18" s="10" t="str">
        <x:v>공격 대상에게 표식을 남겨 그 적을 공격한 아군을 회복한다. 아군별 발동 간격을 둔다.</x:v>
      </x:c>
      <x:c r="I18" s="10" t="str">
        <x:v>공격할 적이 없으면 회복할 수 없다</x:v>
      </x:c>
      <x:c r="J18" s="10" t="str">
        <x:v>관통 사격</x:v>
      </x:c>
      <x:c r="K18" s="11" t="n">
        <x:v>0</x:v>
      </x:c>
      <x:c r="L18" s="11" t="n">
        <x:v>1</x:v>
      </x:c>
      <x:c r="M18" s="11" t="n">
        <x:v>0</x:v>
      </x:c>
      <x:c r="N18" s="11" t="n">
        <x:v>1</x:v>
      </x:c>
      <x:c r="O18" s="11" t="n">
        <x:v>0</x:v>
      </x:c>
      <x:c r="P18" s="10" t="str">
        <x:v>0_1_0_1_0</x:v>
      </x:c>
      <x:c r="Q18" s="10" t="str">
        <x:v>SK_U2_01010</x:v>
      </x:c>
      <x:c r="R18" s="11" t="n">
        <x:f>SUM(K18:O18)</x:f>
        <x:v>2</x:v>
      </x:c>
    </x:row>
    <x:row r="19" ht="50" customHeight="1">
      <x:c r="A19" s="14" t="str">
        <x:v>U2_01001</x:v>
      </x:c>
      <x:c r="B19" s="14" t="str">
        <x:v>마탄사수</x:v>
      </x:c>
      <x:c r="C19" s="9" t="str">
        <x:v>직선 관통 공격</x:v>
      </x:c>
      <x:c r="D19" s="9" t="str">
        <x:v>공학</x:v>
      </x:c>
      <x:c r="E19" s="9" t="str">
        <x:v>비전</x:v>
      </x:c>
      <x:c r="F19" s="9" t="str">
        <x:v>번개</x:v>
      </x:c>
      <x:c r="G19" s="9" t="str">
        <x:v>관통 탄환</x:v>
      </x:c>
      <x:c r="H19" s="9" t="str">
        <x:v>사격선 위의 적들을 관통한다. 동일 적은 탄환 한 발에 한 번만 맞는다.</x:v>
      </x:c>
      <x:c r="I19" s="9" t="str">
        <x:v>흩어진 적에게 효율이 낮다</x:v>
      </x:c>
      <x:c r="J19" s="9" t="str">
        <x:v>관통 사격</x:v>
      </x:c>
      <x:c r="K19" s="12" t="n">
        <x:v>0</x:v>
      </x:c>
      <x:c r="L19" s="12" t="n">
        <x:v>1</x:v>
      </x:c>
      <x:c r="M19" s="12" t="n">
        <x:v>0</x:v>
      </x:c>
      <x:c r="N19" s="12" t="n">
        <x:v>0</x:v>
      </x:c>
      <x:c r="O19" s="12" t="n">
        <x:v>1</x:v>
      </x:c>
      <x:c r="P19" s="9" t="str">
        <x:v>0_1_0_0_1</x:v>
      </x:c>
      <x:c r="Q19" s="9" t="str">
        <x:v>SK_U2_01001</x:v>
      </x:c>
      <x:c r="R19" s="12" t="n">
        <x:f>SUM(K19:O19)</x:f>
        <x:v>2</x:v>
      </x:c>
    </x:row>
    <x:row r="20" ht="50" customHeight="1">
      <x:c r="A20" s="13" t="str">
        <x:v>U2_00200</x:v>
      </x:c>
      <x:c r="B20" s="13" t="str">
        <x:v>기수</x:v>
      </x:c>
      <x:c r="C20" s="10" t="str">
        <x:v>공격력 지원</x:v>
      </x:c>
      <x:c r="D20" s="10" t="str">
        <x:v>궁정</x:v>
      </x:c>
      <x:c r="E20" s="10" t="str">
        <x:v>용맹</x:v>
      </x:c>
      <x:c r="F20" s="10" t="str">
        <x:v>물리</x:v>
      </x:c>
      <x:c r="G20" s="10" t="str">
        <x:v>전장의 깃발</x:v>
      </x:c>
      <x:c r="H20" s="10" t="str">
        <x:v>주변 아군의 공격력을 높인다. 동일 스킬은 가장 높은 효과만 적용한다.</x:v>
      </x:c>
      <x:c r="I20" s="10" t="str">
        <x:v>좁은 지원 범위에 배치가 묶인다</x:v>
      </x:c>
      <x:c r="J20" s="10" t="str">
        <x:v>과충전 연사</x:v>
      </x:c>
      <x:c r="K20" s="11" t="n">
        <x:v>0</x:v>
      </x:c>
      <x:c r="L20" s="11" t="n">
        <x:v>0</x:v>
      </x:c>
      <x:c r="M20" s="11" t="n">
        <x:v>2</x:v>
      </x:c>
      <x:c r="N20" s="11" t="n">
        <x:v>0</x:v>
      </x:c>
      <x:c r="O20" s="11" t="n">
        <x:v>0</x:v>
      </x:c>
      <x:c r="P20" s="10" t="str">
        <x:v>0_0_2_0_0</x:v>
      </x:c>
      <x:c r="Q20" s="10" t="str">
        <x:v>SK_U2_00200</x:v>
      </x:c>
      <x:c r="R20" s="11" t="n">
        <x:f>SUM(K20:O20)</x:f>
        <x:v>2</x:v>
      </x:c>
    </x:row>
    <x:row r="21" ht="50" customHeight="1">
      <x:c r="A21" s="14" t="str">
        <x:v>U2_00110</x:v>
      </x:c>
      <x:c r="B21" s="14" t="str">
        <x:v>사제</x:v>
      </x:c>
      <x:c r="C21" s="9" t="str">
        <x:v>회복 정화</x:v>
      </x:c>
      <x:c r="D21" s="9" t="str">
        <x:v>신성</x:v>
      </x:c>
      <x:c r="E21" s="9" t="str">
        <x:v>궁정</x:v>
      </x:c>
      <x:c r="F21" s="9" t="str">
        <x:v>신성</x:v>
      </x:c>
      <x:c r="G21" s="9" t="str">
        <x:v>정화 기도</x:v>
      </x:c>
      <x:c r="H21" s="9" t="str">
        <x:v>체력이 낮은 아군을 회복하고 해제 가능한 약화 효과 하나를 제거한다.</x:v>
      </x:c>
      <x:c r="I21" s="9" t="str">
        <x:v>여러 약화 효과를 한 번에 지우지 못한다</x:v>
      </x:c>
      <x:c r="J21" s="9" t="str">
        <x:v>성역 유지</x:v>
      </x:c>
      <x:c r="K21" s="12" t="n">
        <x:v>0</x:v>
      </x:c>
      <x:c r="L21" s="12" t="n">
        <x:v>0</x:v>
      </x:c>
      <x:c r="M21" s="12" t="n">
        <x:v>1</x:v>
      </x:c>
      <x:c r="N21" s="12" t="n">
        <x:v>1</x:v>
      </x:c>
      <x:c r="O21" s="12" t="n">
        <x:v>0</x:v>
      </x:c>
      <x:c r="P21" s="9" t="str">
        <x:v>0_0_1_1_0</x:v>
      </x:c>
      <x:c r="Q21" s="9" t="str">
        <x:v>SK_U2_00110</x:v>
      </x:c>
      <x:c r="R21" s="12" t="n">
        <x:f>SUM(K21:O21)</x:f>
        <x:v>2</x:v>
      </x:c>
    </x:row>
    <x:row r="22" ht="50" customHeight="1">
      <x:c r="A22" s="13" t="str">
        <x:v>U2_00101</x:v>
      </x:c>
      <x:c r="B22" s="13" t="str">
        <x:v>주술사</x:v>
      </x:c>
      <x:c r="C22" s="10" t="str">
        <x:v>속성 피해 지원</x:v>
      </x:c>
      <x:c r="D22" s="10" t="str">
        <x:v>비전</x:v>
      </x:c>
      <x:c r="E22" s="10" t="str">
        <x:v>공학</x:v>
      </x:c>
      <x:c r="F22" s="10" t="str">
        <x:v>암흑</x:v>
      </x:c>
      <x:c r="G22" s="10" t="str">
        <x:v>마력 취약</x:v>
      </x:c>
      <x:c r="H22" s="10" t="str">
        <x:v>공격 대상이 받는 비물리 속성 피해를 증가시킨다. 동일 스킬은 중첩되지 않는다.</x:v>
      </x:c>
      <x:c r="I22" s="10" t="str">
        <x:v>물리 중심 편성에는 기여가 낮다</x:v>
      </x:c>
      <x:c r="J22" s="10" t="str">
        <x:v>빙결 포격</x:v>
      </x:c>
      <x:c r="K22" s="11" t="n">
        <x:v>0</x:v>
      </x:c>
      <x:c r="L22" s="11" t="n">
        <x:v>0</x:v>
      </x:c>
      <x:c r="M22" s="11" t="n">
        <x:v>1</x:v>
      </x:c>
      <x:c r="N22" s="11" t="n">
        <x:v>0</x:v>
      </x:c>
      <x:c r="O22" s="11" t="n">
        <x:v>1</x:v>
      </x:c>
      <x:c r="P22" s="10" t="str">
        <x:v>0_0_1_0_1</x:v>
      </x:c>
      <x:c r="Q22" s="10" t="str">
        <x:v>SK_U2_00101</x:v>
      </x:c>
      <x:c r="R22" s="11" t="n">
        <x:f>SUM(K22:O22)</x:f>
        <x:v>2</x:v>
      </x:c>
    </x:row>
    <x:row r="23" ht="50" customHeight="1">
      <x:c r="A23" s="14" t="str">
        <x:v>U2_00020</x:v>
      </x:c>
      <x:c r="B23" s="14" t="str">
        <x:v>대치유사</x:v>
      </x:c>
      <x:c r="C23" s="9" t="str">
        <x:v>집중 회복</x:v>
      </x:c>
      <x:c r="D23" s="9" t="str">
        <x:v>신성</x:v>
      </x:c>
      <x:c r="E23" s="9" t="str">
        <x:v>자연</x:v>
      </x:c>
      <x:c r="F23" s="9" t="str">
        <x:v>신성</x:v>
      </x:c>
      <x:c r="G23" s="9" t="str">
        <x:v>생명 봉합</x:v>
      </x:c>
      <x:c r="H23" s="9" t="str">
        <x:v>체력 비율이 가장 낮은 아군에게 지속 회복을 부여한다.</x:v>
      </x:c>
      <x:c r="I23" s="9" t="str">
        <x:v>회복 대상이 바뀌기 전 다른 아군이 위험해질 수 있다</x:v>
      </x:c>
      <x:c r="J23" s="9" t="str">
        <x:v>성역 유지</x:v>
      </x:c>
      <x:c r="K23" s="12" t="n">
        <x:v>0</x:v>
      </x:c>
      <x:c r="L23" s="12" t="n">
        <x:v>0</x:v>
      </x:c>
      <x:c r="M23" s="12" t="n">
        <x:v>0</x:v>
      </x:c>
      <x:c r="N23" s="12" t="n">
        <x:v>2</x:v>
      </x:c>
      <x:c r="O23" s="12" t="n">
        <x:v>0</x:v>
      </x:c>
      <x:c r="P23" s="9" t="str">
        <x:v>0_0_0_2_0</x:v>
      </x:c>
      <x:c r="Q23" s="9" t="str">
        <x:v>SK_U2_00020</x:v>
      </x:c>
      <x:c r="R23" s="12" t="n">
        <x:f>SUM(K23:O23)</x:f>
        <x:v>2</x:v>
      </x:c>
    </x:row>
    <x:row r="24" ht="50" customHeight="1">
      <x:c r="A24" s="13" t="str">
        <x:v>U2_00011</x:v>
      </x:c>
      <x:c r="B24" s="13" t="str">
        <x:v>서리술사</x:v>
      </x:c>
      <x:c r="C24" s="10" t="str">
        <x:v>둔화 회복</x:v>
      </x:c>
      <x:c r="D24" s="10" t="str">
        <x:v>북방</x:v>
      </x:c>
      <x:c r="E24" s="10" t="str">
        <x:v>비전</x:v>
      </x:c>
      <x:c r="F24" s="10" t="str">
        <x:v>냉기</x:v>
      </x:c>
      <x:c r="G24" s="10" t="str">
        <x:v>서리 샘</x:v>
      </x:c>
      <x:c r="H24" s="10" t="str">
        <x:v>지대를 만들어 적을 둔화시키고 지대 안 아군을 회복한다.</x:v>
      </x:c>
      <x:c r="I24" s="10" t="str">
        <x:v>이동이 빠른 전투에서는 지대가 빗나가기 쉽다</x:v>
      </x:c>
      <x:c r="J24" s="10" t="str">
        <x:v>빙결 포격</x:v>
      </x:c>
      <x:c r="K24" s="11" t="n">
        <x:v>0</x:v>
      </x:c>
      <x:c r="L24" s="11" t="n">
        <x:v>0</x:v>
      </x:c>
      <x:c r="M24" s="11" t="n">
        <x:v>0</x:v>
      </x:c>
      <x:c r="N24" s="11" t="n">
        <x:v>1</x:v>
      </x:c>
      <x:c r="O24" s="11" t="n">
        <x:v>1</x:v>
      </x:c>
      <x:c r="P24" s="10" t="str">
        <x:v>0_0_0_1_1</x:v>
      </x:c>
      <x:c r="Q24" s="10" t="str">
        <x:v>SK_U2_00011</x:v>
      </x:c>
      <x:c r="R24" s="11" t="n">
        <x:f>SUM(K24:O24)</x:f>
        <x:v>2</x:v>
      </x:c>
    </x:row>
    <x:row r="25" ht="50" customHeight="1">
      <x:c r="A25" s="14" t="str">
        <x:v>U2_00002</x:v>
      </x:c>
      <x:c r="B25" s="14" t="str">
        <x:v>대마법사</x:v>
      </x:c>
      <x:c r="C25" s="9" t="str">
        <x:v>광역 폭발</x:v>
      </x:c>
      <x:c r="D25" s="9" t="str">
        <x:v>비전</x:v>
      </x:c>
      <x:c r="E25" s="9" t="str">
        <x:v>공학</x:v>
      </x:c>
      <x:c r="F25" s="9" t="str">
        <x:v>화염</x:v>
      </x:c>
      <x:c r="G25" s="9" t="str">
        <x:v>대폭발</x:v>
      </x:c>
      <x:c r="H25" s="9" t="str">
        <x:v>일정 준비 시간 뒤 목표 지점에 넓은 범위 화염 피해를 준다.</x:v>
      </x:c>
      <x:c r="I25" s="9" t="str">
        <x:v>준비 중 목표가 이동하면 빗나갈 수 있다</x:v>
      </x:c>
      <x:c r="J25" s="9" t="str">
        <x:v>빙결 포격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 t="n">
        <x:v>2</x:v>
      </x:c>
      <x:c r="P25" s="9" t="str">
        <x:v>0_0_0_0_2</x:v>
      </x:c>
      <x:c r="Q25" s="9" t="str">
        <x:v>SK_U2_00002</x:v>
      </x:c>
      <x:c r="R25" s="12" t="n">
        <x:f>SUM(K25:O25)</x:f>
        <x:v>2</x:v>
      </x:c>
    </x:row>
  </x:sheetData>
  <x:dataValidations count="2">
    <x:dataValidation type="list" sqref="D6:E25">
      <x:formula1>"궁정,신성,비전,자연,공학,암영,북방,용맹"</x:formula1>
    </x:dataValidation>
    <x:dataValidation type="list" sqref="F6:F25">
      <x:formula1>"물리,화염,냉기,번개,신성,암흑,자연"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5e6078a23248fa"/>
  </x:tableParts>
</x:worksheet>
</file>

<file path=xl/worksheets/sheet4.xml><?xml version="1.0" encoding="utf-8"?>
<x:worksheet xmlns:x="http://schemas.openxmlformats.org/spreadsheetml/2006/main">
  <x:sheetPr>
    <x:tabColor rgb="FF305E6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1" hidden="0" customWidth="1"/>
    <x:col min="4" max="4" width="18" hidden="0" customWidth="1"/>
    <x:col min="5" max="5" width="21" hidden="0" customWidth="1"/>
    <x:col min="6" max="6" width="18" hidden="0" customWidth="1"/>
    <x:col min="7" max="7" width="21" hidden="0" customWidth="1"/>
    <x:col min="8" max="8" width="12" hidden="0" customWidth="1"/>
    <x:col min="9" max="9" width="12" hidden="0" customWidth="1"/>
    <x:col min="10" max="10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전체 합성식 135개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같은 결과로 이어지는 모든 경로 포함. 상점 힌트가 예인 대표 경로도 하위 제작식까지 공개하지 않음.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8" t="str">
        <x:v>제작식 ID</x:v>
      </x:c>
      <x:c r="B5" s="8" t="str">
        <x:v>재료 A ID</x:v>
      </x:c>
      <x:c r="C5" s="8" t="str">
        <x:v>재료 A</x:v>
      </x:c>
      <x:c r="D5" s="8" t="str">
        <x:v>재료 B ID</x:v>
      </x:c>
      <x:c r="E5" s="8" t="str">
        <x:v>재료 B</x:v>
      </x:c>
      <x:c r="F5" s="8" t="str">
        <x:v>결과 ID</x:v>
      </x:c>
      <x:c r="G5" s="8" t="str">
        <x:v>결과 유닛</x:v>
      </x:c>
      <x:c r="H5" s="8" t="str">
        <x:v>결과 티어</x:v>
      </x:c>
      <x:c r="I5" s="8" t="str">
        <x:v>상점 힌트</x:v>
      </x:c>
      <x:c r="J5" s="8" t="str">
        <x:v>최종 기본 구성</x:v>
      </x:c>
    </x:row>
    <x:row r="6" ht="54" customHeight="1">
      <x:c r="A6" s="10" t="str">
        <x:v>R_U1_00001_U1_00001</x:v>
      </x:c>
      <x:c r="B6" s="10" t="str">
        <x:v>U1_00001</x:v>
      </x:c>
      <x:c r="C6" s="10" t="str">
        <x:v>마법사</x:v>
      </x:c>
      <x:c r="D6" s="10" t="str">
        <x:v>U1_00001</x:v>
      </x:c>
      <x:c r="E6" s="10" t="str">
        <x:v>마법사</x:v>
      </x:c>
      <x:c r="F6" s="10" t="str">
        <x:v>U2_00002</x:v>
      </x:c>
      <x:c r="G6" s="10" t="str">
        <x:v>대마법사</x:v>
      </x:c>
      <x:c r="H6" s="10" t="n">
        <x:v>2</x:v>
      </x:c>
      <x:c r="I6" s="10" t="str">
        <x:v>예</x:v>
      </x:c>
      <x:c r="J6" s="10" t="str">
        <x:v>마법사×2</x:v>
      </x:c>
    </x:row>
    <x:row r="7" ht="54" customHeight="1">
      <x:c r="A7" s="9" t="str">
        <x:v>R_U1_00001_U1_00010</x:v>
      </x:c>
      <x:c r="B7" s="9" t="str">
        <x:v>U1_00001</x:v>
      </x:c>
      <x:c r="C7" s="9" t="str">
        <x:v>마법사</x:v>
      </x:c>
      <x:c r="D7" s="9" t="str">
        <x:v>U1_00010</x:v>
      </x:c>
      <x:c r="E7" s="9" t="str">
        <x:v>힐러</x:v>
      </x:c>
      <x:c r="F7" s="9" t="str">
        <x:v>U2_00011</x:v>
      </x:c>
      <x:c r="G7" s="9" t="str">
        <x:v>서리술사</x:v>
      </x:c>
      <x:c r="H7" s="9" t="n">
        <x:v>2</x:v>
      </x:c>
      <x:c r="I7" s="9" t="str">
        <x:v>예</x:v>
      </x:c>
      <x:c r="J7" s="9" t="str">
        <x:v>힐러×1 + 마법사×1</x:v>
      </x:c>
    </x:row>
    <x:row r="8" ht="54" customHeight="1">
      <x:c r="A8" s="10" t="str">
        <x:v>R_U1_00001_U1_00100</x:v>
      </x:c>
      <x:c r="B8" s="10" t="str">
        <x:v>U1_00001</x:v>
      </x:c>
      <x:c r="C8" s="10" t="str">
        <x:v>마법사</x:v>
      </x:c>
      <x:c r="D8" s="10" t="str">
        <x:v>U1_00100</x:v>
      </x:c>
      <x:c r="E8" s="10" t="str">
        <x:v>버퍼</x:v>
      </x:c>
      <x:c r="F8" s="10" t="str">
        <x:v>U2_00101</x:v>
      </x:c>
      <x:c r="G8" s="10" t="str">
        <x:v>주술사</x:v>
      </x:c>
      <x:c r="H8" s="10" t="n">
        <x:v>2</x:v>
      </x:c>
      <x:c r="I8" s="10" t="str">
        <x:v>예</x:v>
      </x:c>
      <x:c r="J8" s="10" t="str">
        <x:v>버퍼×1 + 마법사×1</x:v>
      </x:c>
    </x:row>
    <x:row r="9" ht="54" customHeight="1">
      <x:c r="A9" s="9" t="str">
        <x:v>R_U1_00001_U1_01000</x:v>
      </x:c>
      <x:c r="B9" s="9" t="str">
        <x:v>U1_00001</x:v>
      </x:c>
      <x:c r="C9" s="9" t="str">
        <x:v>마법사</x:v>
      </x:c>
      <x:c r="D9" s="9" t="str">
        <x:v>U1_01000</x:v>
      </x:c>
      <x:c r="E9" s="9" t="str">
        <x:v>궁수</x:v>
      </x:c>
      <x:c r="F9" s="9" t="str">
        <x:v>U2_01001</x:v>
      </x:c>
      <x:c r="G9" s="9" t="str">
        <x:v>마탄사수</x:v>
      </x:c>
      <x:c r="H9" s="9" t="n">
        <x:v>2</x:v>
      </x:c>
      <x:c r="I9" s="9" t="str">
        <x:v>예</x:v>
      </x:c>
      <x:c r="J9" s="9" t="str">
        <x:v>궁수×1 + 마법사×1</x:v>
      </x:c>
    </x:row>
    <x:row r="10" ht="54" customHeight="1">
      <x:c r="A10" s="10" t="str">
        <x:v>R_U1_00001_U1_10000</x:v>
      </x:c>
      <x:c r="B10" s="10" t="str">
        <x:v>U1_00001</x:v>
      </x:c>
      <x:c r="C10" s="10" t="str">
        <x:v>마법사</x:v>
      </x:c>
      <x:c r="D10" s="10" t="str">
        <x:v>U1_10000</x:v>
      </x:c>
      <x:c r="E10" s="10" t="str">
        <x:v>기사</x:v>
      </x:c>
      <x:c r="F10" s="10" t="str">
        <x:v>U2_10001</x:v>
      </x:c>
      <x:c r="G10" s="10" t="str">
        <x:v>마검사</x:v>
      </x:c>
      <x:c r="H10" s="10" t="n">
        <x:v>2</x:v>
      </x:c>
      <x:c r="I10" s="10" t="str">
        <x:v>예</x:v>
      </x:c>
      <x:c r="J10" s="10" t="str">
        <x:v>기사×1 + 마법사×1</x:v>
      </x:c>
    </x:row>
    <x:row r="11" ht="54" customHeight="1">
      <x:c r="A11" s="9" t="str">
        <x:v>R_U1_00010_U1_00010</x:v>
      </x:c>
      <x:c r="B11" s="9" t="str">
        <x:v>U1_00010</x:v>
      </x:c>
      <x:c r="C11" s="9" t="str">
        <x:v>힐러</x:v>
      </x:c>
      <x:c r="D11" s="9" t="str">
        <x:v>U1_00010</x:v>
      </x:c>
      <x:c r="E11" s="9" t="str">
        <x:v>힐러</x:v>
      </x:c>
      <x:c r="F11" s="9" t="str">
        <x:v>U2_00020</x:v>
      </x:c>
      <x:c r="G11" s="9" t="str">
        <x:v>대치유사</x:v>
      </x:c>
      <x:c r="H11" s="9" t="n">
        <x:v>2</x:v>
      </x:c>
      <x:c r="I11" s="9" t="str">
        <x:v>예</x:v>
      </x:c>
      <x:c r="J11" s="9" t="str">
        <x:v>힐러×2</x:v>
      </x:c>
    </x:row>
    <x:row r="12" ht="54" customHeight="1">
      <x:c r="A12" s="10" t="str">
        <x:v>R_U1_00010_U1_00100</x:v>
      </x:c>
      <x:c r="B12" s="10" t="str">
        <x:v>U1_00010</x:v>
      </x:c>
      <x:c r="C12" s="10" t="str">
        <x:v>힐러</x:v>
      </x:c>
      <x:c r="D12" s="10" t="str">
        <x:v>U1_00100</x:v>
      </x:c>
      <x:c r="E12" s="10" t="str">
        <x:v>버퍼</x:v>
      </x:c>
      <x:c r="F12" s="10" t="str">
        <x:v>U2_00110</x:v>
      </x:c>
      <x:c r="G12" s="10" t="str">
        <x:v>사제</x:v>
      </x:c>
      <x:c r="H12" s="10" t="n">
        <x:v>2</x:v>
      </x:c>
      <x:c r="I12" s="10" t="str">
        <x:v>예</x:v>
      </x:c>
      <x:c r="J12" s="10" t="str">
        <x:v>버퍼×1 + 힐러×1</x:v>
      </x:c>
    </x:row>
    <x:row r="13" ht="54" customHeight="1">
      <x:c r="A13" s="9" t="str">
        <x:v>R_U1_00010_U1_01000</x:v>
      </x:c>
      <x:c r="B13" s="9" t="str">
        <x:v>U1_00010</x:v>
      </x:c>
      <x:c r="C13" s="9" t="str">
        <x:v>힐러</x:v>
      </x:c>
      <x:c r="D13" s="9" t="str">
        <x:v>U1_01000</x:v>
      </x:c>
      <x:c r="E13" s="9" t="str">
        <x:v>궁수</x:v>
      </x:c>
      <x:c r="F13" s="9" t="str">
        <x:v>U2_01010</x:v>
      </x:c>
      <x:c r="G13" s="9" t="str">
        <x:v>숲지기</x:v>
      </x:c>
      <x:c r="H13" s="9" t="n">
        <x:v>2</x:v>
      </x:c>
      <x:c r="I13" s="9" t="str">
        <x:v>예</x:v>
      </x:c>
      <x:c r="J13" s="9" t="str">
        <x:v>궁수×1 + 힐러×1</x:v>
      </x:c>
    </x:row>
    <x:row r="14" ht="54" customHeight="1">
      <x:c r="A14" s="10" t="str">
        <x:v>R_U1_00010_U1_10000</x:v>
      </x:c>
      <x:c r="B14" s="10" t="str">
        <x:v>U1_00010</x:v>
      </x:c>
      <x:c r="C14" s="10" t="str">
        <x:v>힐러</x:v>
      </x:c>
      <x:c r="D14" s="10" t="str">
        <x:v>U1_10000</x:v>
      </x:c>
      <x:c r="E14" s="10" t="str">
        <x:v>기사</x:v>
      </x:c>
      <x:c r="F14" s="10" t="str">
        <x:v>U2_10010</x:v>
      </x:c>
      <x:c r="G14" s="10" t="str">
        <x:v>성기사</x:v>
      </x:c>
      <x:c r="H14" s="10" t="n">
        <x:v>2</x:v>
      </x:c>
      <x:c r="I14" s="10" t="str">
        <x:v>예</x:v>
      </x:c>
      <x:c r="J14" s="10" t="str">
        <x:v>기사×1 + 힐러×1</x:v>
      </x:c>
    </x:row>
    <x:row r="15" ht="54" customHeight="1">
      <x:c r="A15" s="9" t="str">
        <x:v>R_U1_00100_U1_00100</x:v>
      </x:c>
      <x:c r="B15" s="9" t="str">
        <x:v>U1_00100</x:v>
      </x:c>
      <x:c r="C15" s="9" t="str">
        <x:v>버퍼</x:v>
      </x:c>
      <x:c r="D15" s="9" t="str">
        <x:v>U1_00100</x:v>
      </x:c>
      <x:c r="E15" s="9" t="str">
        <x:v>버퍼</x:v>
      </x:c>
      <x:c r="F15" s="9" t="str">
        <x:v>U2_00200</x:v>
      </x:c>
      <x:c r="G15" s="9" t="str">
        <x:v>기수</x:v>
      </x:c>
      <x:c r="H15" s="9" t="n">
        <x:v>2</x:v>
      </x:c>
      <x:c r="I15" s="9" t="str">
        <x:v>예</x:v>
      </x:c>
      <x:c r="J15" s="9" t="str">
        <x:v>버퍼×2</x:v>
      </x:c>
    </x:row>
    <x:row r="16" ht="54" customHeight="1">
      <x:c r="A16" s="10" t="str">
        <x:v>R_U1_00100_U1_01000</x:v>
      </x:c>
      <x:c r="B16" s="10" t="str">
        <x:v>U1_00100</x:v>
      </x:c>
      <x:c r="C16" s="10" t="str">
        <x:v>버퍼</x:v>
      </x:c>
      <x:c r="D16" s="10" t="str">
        <x:v>U1_01000</x:v>
      </x:c>
      <x:c r="E16" s="10" t="str">
        <x:v>궁수</x:v>
      </x:c>
      <x:c r="F16" s="10" t="str">
        <x:v>U2_01100</x:v>
      </x:c>
      <x:c r="G16" s="10" t="str">
        <x:v>군악궁수</x:v>
      </x:c>
      <x:c r="H16" s="10" t="n">
        <x:v>2</x:v>
      </x:c>
      <x:c r="I16" s="10" t="str">
        <x:v>예</x:v>
      </x:c>
      <x:c r="J16" s="10" t="str">
        <x:v>궁수×1 + 버퍼×1</x:v>
      </x:c>
    </x:row>
    <x:row r="17" ht="54" customHeight="1">
      <x:c r="A17" s="9" t="str">
        <x:v>R_U1_00100_U1_10000</x:v>
      </x:c>
      <x:c r="B17" s="9" t="str">
        <x:v>U1_00100</x:v>
      </x:c>
      <x:c r="C17" s="9" t="str">
        <x:v>버퍼</x:v>
      </x:c>
      <x:c r="D17" s="9" t="str">
        <x:v>U1_10000</x:v>
      </x:c>
      <x:c r="E17" s="9" t="str">
        <x:v>기사</x:v>
      </x:c>
      <x:c r="F17" s="9" t="str">
        <x:v>U2_10100</x:v>
      </x:c>
      <x:c r="G17" s="9" t="str">
        <x:v>지휘관</x:v>
      </x:c>
      <x:c r="H17" s="9" t="n">
        <x:v>2</x:v>
      </x:c>
      <x:c r="I17" s="9" t="str">
        <x:v>예</x:v>
      </x:c>
      <x:c r="J17" s="9" t="str">
        <x:v>기사×1 + 버퍼×1</x:v>
      </x:c>
    </x:row>
    <x:row r="18" ht="54" customHeight="1">
      <x:c r="A18" s="10" t="str">
        <x:v>R_U1_01000_U1_01000</x:v>
      </x:c>
      <x:c r="B18" s="10" t="str">
        <x:v>U1_01000</x:v>
      </x:c>
      <x:c r="C18" s="10" t="str">
        <x:v>궁수</x:v>
      </x:c>
      <x:c r="D18" s="10" t="str">
        <x:v>U1_01000</x:v>
      </x:c>
      <x:c r="E18" s="10" t="str">
        <x:v>궁수</x:v>
      </x:c>
      <x:c r="F18" s="10" t="str">
        <x:v>U2_02000</x:v>
      </x:c>
      <x:c r="G18" s="10" t="str">
        <x:v>명사수</x:v>
      </x:c>
      <x:c r="H18" s="10" t="n">
        <x:v>2</x:v>
      </x:c>
      <x:c r="I18" s="10" t="str">
        <x:v>예</x:v>
      </x:c>
      <x:c r="J18" s="10" t="str">
        <x:v>궁수×2</x:v>
      </x:c>
    </x:row>
    <x:row r="19" ht="54" customHeight="1">
      <x:c r="A19" s="9" t="str">
        <x:v>R_U1_01000_U1_10000</x:v>
      </x:c>
      <x:c r="B19" s="9" t="str">
        <x:v>U1_01000</x:v>
      </x:c>
      <x:c r="C19" s="9" t="str">
        <x:v>궁수</x:v>
      </x:c>
      <x:c r="D19" s="9" t="str">
        <x:v>U1_10000</x:v>
      </x:c>
      <x:c r="E19" s="9" t="str">
        <x:v>기사</x:v>
      </x:c>
      <x:c r="F19" s="9" t="str">
        <x:v>U2_11000</x:v>
      </x:c>
      <x:c r="G19" s="9" t="str">
        <x:v>척후병</x:v>
      </x:c>
      <x:c r="H19" s="9" t="n">
        <x:v>2</x:v>
      </x:c>
      <x:c r="I19" s="9" t="str">
        <x:v>예</x:v>
      </x:c>
      <x:c r="J19" s="9" t="str">
        <x:v>기사×1 + 궁수×1</x:v>
      </x:c>
    </x:row>
    <x:row r="20" ht="54" customHeight="1">
      <x:c r="A20" s="10" t="str">
        <x:v>R_U1_10000_U1_10000</x:v>
      </x:c>
      <x:c r="B20" s="10" t="str">
        <x:v>U1_10000</x:v>
      </x:c>
      <x:c r="C20" s="10" t="str">
        <x:v>기사</x:v>
      </x:c>
      <x:c r="D20" s="10" t="str">
        <x:v>U1_10000</x:v>
      </x:c>
      <x:c r="E20" s="10" t="str">
        <x:v>기사</x:v>
      </x:c>
      <x:c r="F20" s="10" t="str">
        <x:v>U2_20000</x:v>
      </x:c>
      <x:c r="G20" s="10" t="str">
        <x:v>중갑병</x:v>
      </x:c>
      <x:c r="H20" s="10" t="n">
        <x:v>2</x:v>
      </x:c>
      <x:c r="I20" s="10" t="str">
        <x:v>예</x:v>
      </x:c>
      <x:c r="J20" s="10" t="str">
        <x:v>기사×2</x:v>
      </x:c>
    </x:row>
    <x:row r="21" ht="54" customHeight="1">
      <x:c r="A21" s="9" t="str">
        <x:v>R_U2_00002_U2_00002</x:v>
      </x:c>
      <x:c r="B21" s="9" t="str">
        <x:v>U2_00002</x:v>
      </x:c>
      <x:c r="C21" s="9" t="str">
        <x:v>대마법사</x:v>
      </x:c>
      <x:c r="D21" s="9" t="str">
        <x:v>U2_00002</x:v>
      </x:c>
      <x:c r="E21" s="9" t="str">
        <x:v>대마법사</x:v>
      </x:c>
      <x:c r="F21" s="9" t="str">
        <x:v>U3_00004</x:v>
      </x:c>
      <x:c r="G21" s="9" t="str">
        <x:v>대현자</x:v>
      </x:c>
      <x:c r="H21" s="9" t="n">
        <x:v>3</x:v>
      </x:c>
      <x:c r="I21" s="9" t="str">
        <x:v>예</x:v>
      </x:c>
      <x:c r="J21" s="9" t="str">
        <x:v>마법사×4</x:v>
      </x:c>
    </x:row>
    <x:row r="22" ht="54" customHeight="1">
      <x:c r="A22" s="10" t="str">
        <x:v>R_U2_00002_U2_00011</x:v>
      </x:c>
      <x:c r="B22" s="10" t="str">
        <x:v>U2_00002</x:v>
      </x:c>
      <x:c r="C22" s="10" t="str">
        <x:v>대마법사</x:v>
      </x:c>
      <x:c r="D22" s="10" t="str">
        <x:v>U2_00011</x:v>
      </x:c>
      <x:c r="E22" s="10" t="str">
        <x:v>서리술사</x:v>
      </x:c>
      <x:c r="F22" s="10" t="str">
        <x:v>U3_00013</x:v>
      </x:c>
      <x:c r="G22" s="10" t="str">
        <x:v>백야현자</x:v>
      </x:c>
      <x:c r="H22" s="10" t="n">
        <x:v>3</x:v>
      </x:c>
      <x:c r="I22" s="10" t="str">
        <x:v>예</x:v>
      </x:c>
      <x:c r="J22" s="10" t="str">
        <x:v>힐러×1 + 마법사×3</x:v>
      </x:c>
    </x:row>
    <x:row r="23" ht="54" customHeight="1">
      <x:c r="A23" s="9" t="str">
        <x:v>R_U2_00002_U2_00020</x:v>
      </x:c>
      <x:c r="B23" s="9" t="str">
        <x:v>U2_00002</x:v>
      </x:c>
      <x:c r="C23" s="9" t="str">
        <x:v>대마법사</x:v>
      </x:c>
      <x:c r="D23" s="9" t="str">
        <x:v>U2_00020</x:v>
      </x:c>
      <x:c r="E23" s="9" t="str">
        <x:v>대치유사</x:v>
      </x:c>
      <x:c r="F23" s="9" t="str">
        <x:v>U3_00022</x:v>
      </x:c>
      <x:c r="G23" s="9" t="str">
        <x:v>빙하치유사</x:v>
      </x:c>
      <x:c r="H23" s="9" t="n">
        <x:v>3</x:v>
      </x:c>
      <x:c r="I23" s="9" t="str">
        <x:v>예</x:v>
      </x:c>
      <x:c r="J23" s="9" t="str">
        <x:v>힐러×2 + 마법사×2</x:v>
      </x:c>
    </x:row>
    <x:row r="24" ht="54" customHeight="1">
      <x:c r="A24" s="10" t="str">
        <x:v>R_U2_00002_U2_00101</x:v>
      </x:c>
      <x:c r="B24" s="10" t="str">
        <x:v>U2_00002</x:v>
      </x:c>
      <x:c r="C24" s="10" t="str">
        <x:v>대마법사</x:v>
      </x:c>
      <x:c r="D24" s="10" t="str">
        <x:v>U2_00101</x:v>
      </x:c>
      <x:c r="E24" s="10" t="str">
        <x:v>주술사</x:v>
      </x:c>
      <x:c r="F24" s="10" t="str">
        <x:v>U3_00103</x:v>
      </x:c>
      <x:c r="G24" s="10" t="str">
        <x:v>별의 점성가</x:v>
      </x:c>
      <x:c r="H24" s="10" t="n">
        <x:v>3</x:v>
      </x:c>
      <x:c r="I24" s="10" t="str">
        <x:v>예</x:v>
      </x:c>
      <x:c r="J24" s="10" t="str">
        <x:v>버퍼×1 + 마법사×3</x:v>
      </x:c>
    </x:row>
    <x:row r="25" ht="54" customHeight="1">
      <x:c r="A25" s="9" t="str">
        <x:v>R_U2_00002_U2_00110</x:v>
      </x:c>
      <x:c r="B25" s="9" t="str">
        <x:v>U2_00002</x:v>
      </x:c>
      <x:c r="C25" s="9" t="str">
        <x:v>대마법사</x:v>
      </x:c>
      <x:c r="D25" s="9" t="str">
        <x:v>U2_00110</x:v>
      </x:c>
      <x:c r="E25" s="9" t="str">
        <x:v>사제</x:v>
      </x:c>
      <x:c r="F25" s="9" t="str">
        <x:v>U3_00112</x:v>
      </x:c>
      <x:c r="G25" s="9" t="str">
        <x:v>황혼현자</x:v>
      </x:c>
      <x:c r="H25" s="9" t="n">
        <x:v>3</x:v>
      </x:c>
      <x:c r="I25" s="9" t="str">
        <x:v>예</x:v>
      </x:c>
      <x:c r="J25" s="9" t="str">
        <x:v>버퍼×1 + 힐러×1 + 마법사×2</x:v>
      </x:c>
    </x:row>
    <x:row r="26" ht="54" customHeight="1">
      <x:c r="A26" s="10" t="str">
        <x:v>R_U2_00002_U2_00200</x:v>
      </x:c>
      <x:c r="B26" s="10" t="str">
        <x:v>U2_00002</x:v>
      </x:c>
      <x:c r="C26" s="10" t="str">
        <x:v>대마법사</x:v>
      </x:c>
      <x:c r="D26" s="10" t="str">
        <x:v>U2_00200</x:v>
      </x:c>
      <x:c r="E26" s="10" t="str">
        <x:v>기수</x:v>
      </x:c>
      <x:c r="F26" s="10" t="str">
        <x:v>U3_00202</x:v>
      </x:c>
      <x:c r="G26" s="10" t="str">
        <x:v>마력지휘자</x:v>
      </x:c>
      <x:c r="H26" s="10" t="n">
        <x:v>3</x:v>
      </x:c>
      <x:c r="I26" s="10" t="str">
        <x:v>예</x:v>
      </x:c>
      <x:c r="J26" s="10" t="str">
        <x:v>버퍼×2 + 마법사×2</x:v>
      </x:c>
    </x:row>
    <x:row r="27" ht="54" customHeight="1">
      <x:c r="A27" s="9" t="str">
        <x:v>R_U2_00002_U2_01001</x:v>
      </x:c>
      <x:c r="B27" s="9" t="str">
        <x:v>U2_00002</x:v>
      </x:c>
      <x:c r="C27" s="9" t="str">
        <x:v>대마법사</x:v>
      </x:c>
      <x:c r="D27" s="9" t="str">
        <x:v>U2_01001</x:v>
      </x:c>
      <x:c r="E27" s="9" t="str">
        <x:v>마탄사수</x:v>
      </x:c>
      <x:c r="F27" s="9" t="str">
        <x:v>U3_01003</x:v>
      </x:c>
      <x:c r="G27" s="9" t="str">
        <x:v>천뢰저격수</x:v>
      </x:c>
      <x:c r="H27" s="9" t="n">
        <x:v>3</x:v>
      </x:c>
      <x:c r="I27" s="9" t="str">
        <x:v>예</x:v>
      </x:c>
      <x:c r="J27" s="9" t="str">
        <x:v>궁수×1 + 마법사×3</x:v>
      </x:c>
    </x:row>
    <x:row r="28" ht="54" customHeight="1">
      <x:c r="A28" s="10" t="str">
        <x:v>R_U2_00002_U2_01010</x:v>
      </x:c>
      <x:c r="B28" s="10" t="str">
        <x:v>U2_00002</x:v>
      </x:c>
      <x:c r="C28" s="10" t="str">
        <x:v>대마법사</x:v>
      </x:c>
      <x:c r="D28" s="10" t="str">
        <x:v>U2_01010</x:v>
      </x:c>
      <x:c r="E28" s="10" t="str">
        <x:v>숲지기</x:v>
      </x:c>
      <x:c r="F28" s="10" t="str">
        <x:v>U3_01012</x:v>
      </x:c>
      <x:c r="G28" s="10" t="str">
        <x:v>역병사냥꾼</x:v>
      </x:c>
      <x:c r="H28" s="10" t="n">
        <x:v>3</x:v>
      </x:c>
      <x:c r="I28" s="10" t="str">
        <x:v>예</x:v>
      </x:c>
      <x:c r="J28" s="10" t="str">
        <x:v>궁수×1 + 힐러×1 + 마법사×2</x:v>
      </x:c>
    </x:row>
    <x:row r="29" ht="54" customHeight="1">
      <x:c r="A29" s="9" t="str">
        <x:v>R_U2_00002_U2_01100</x:v>
      </x:c>
      <x:c r="B29" s="9" t="str">
        <x:v>U2_00002</x:v>
      </x:c>
      <x:c r="C29" s="9" t="str">
        <x:v>대마법사</x:v>
      </x:c>
      <x:c r="D29" s="9" t="str">
        <x:v>U2_01100</x:v>
      </x:c>
      <x:c r="E29" s="9" t="str">
        <x:v>군악궁수</x:v>
      </x:c>
      <x:c r="F29" s="9" t="str">
        <x:v>U3_01102</x:v>
      </x:c>
      <x:c r="G29" s="9" t="str">
        <x:v>폭풍지휘술사</x:v>
      </x:c>
      <x:c r="H29" s="9" t="n">
        <x:v>3</x:v>
      </x:c>
      <x:c r="I29" s="9" t="str">
        <x:v>예</x:v>
      </x:c>
      <x:c r="J29" s="9" t="str">
        <x:v>궁수×1 + 버퍼×1 + 마법사×2</x:v>
      </x:c>
    </x:row>
    <x:row r="30" ht="54" customHeight="1">
      <x:c r="A30" s="10" t="str">
        <x:v>R_U2_00002_U2_02000</x:v>
      </x:c>
      <x:c r="B30" s="10" t="str">
        <x:v>U2_00002</x:v>
      </x:c>
      <x:c r="C30" s="10" t="str">
        <x:v>대마법사</x:v>
      </x:c>
      <x:c r="D30" s="10" t="str">
        <x:v>U2_02000</x:v>
      </x:c>
      <x:c r="E30" s="10" t="str">
        <x:v>명사수</x:v>
      </x:c>
      <x:c r="F30" s="10" t="str">
        <x:v>U3_02002</x:v>
      </x:c>
      <x:c r="G30" s="10" t="str">
        <x:v>마도저격수</x:v>
      </x:c>
      <x:c r="H30" s="10" t="n">
        <x:v>3</x:v>
      </x:c>
      <x:c r="I30" s="10" t="str">
        <x:v>예</x:v>
      </x:c>
      <x:c r="J30" s="10" t="str">
        <x:v>궁수×2 + 마법사×2</x:v>
      </x:c>
    </x:row>
    <x:row r="31" ht="54" customHeight="1">
      <x:c r="A31" s="9" t="str">
        <x:v>R_U2_00002_U2_10001</x:v>
      </x:c>
      <x:c r="B31" s="9" t="str">
        <x:v>U2_00002</x:v>
      </x:c>
      <x:c r="C31" s="9" t="str">
        <x:v>대마법사</x:v>
      </x:c>
      <x:c r="D31" s="9" t="str">
        <x:v>U2_10001</x:v>
      </x:c>
      <x:c r="E31" s="9" t="str">
        <x:v>마검사</x:v>
      </x:c>
      <x:c r="F31" s="9" t="str">
        <x:v>U3_10003</x:v>
      </x:c>
      <x:c r="G31" s="9" t="str">
        <x:v>화산수호자</x:v>
      </x:c>
      <x:c r="H31" s="9" t="n">
        <x:v>3</x:v>
      </x:c>
      <x:c r="I31" s="9" t="str">
        <x:v>예</x:v>
      </x:c>
      <x:c r="J31" s="9" t="str">
        <x:v>기사×1 + 마법사×3</x:v>
      </x:c>
    </x:row>
    <x:row r="32" ht="54" customHeight="1">
      <x:c r="A32" s="10" t="str">
        <x:v>R_U2_00002_U2_10010</x:v>
      </x:c>
      <x:c r="B32" s="10" t="str">
        <x:v>U2_00002</x:v>
      </x:c>
      <x:c r="C32" s="10" t="str">
        <x:v>대마법사</x:v>
      </x:c>
      <x:c r="D32" s="10" t="str">
        <x:v>U2_10010</x:v>
      </x:c>
      <x:c r="E32" s="10" t="str">
        <x:v>성기사</x:v>
      </x:c>
      <x:c r="F32" s="10" t="str">
        <x:v>U3_10012</x:v>
      </x:c>
      <x:c r="G32" s="10" t="str">
        <x:v>빙하수호자</x:v>
      </x:c>
      <x:c r="H32" s="10" t="n">
        <x:v>3</x:v>
      </x:c>
      <x:c r="I32" s="10" t="str">
        <x:v>예</x:v>
      </x:c>
      <x:c r="J32" s="10" t="str">
        <x:v>기사×1 + 힐러×1 + 마법사×2</x:v>
      </x:c>
    </x:row>
    <x:row r="33" ht="54" customHeight="1">
      <x:c r="A33" s="9" t="str">
        <x:v>R_U2_00002_U2_10100</x:v>
      </x:c>
      <x:c r="B33" s="9" t="str">
        <x:v>U2_00002</x:v>
      </x:c>
      <x:c r="C33" s="9" t="str">
        <x:v>대마법사</x:v>
      </x:c>
      <x:c r="D33" s="9" t="str">
        <x:v>U2_10100</x:v>
      </x:c>
      <x:c r="E33" s="9" t="str">
        <x:v>지휘관</x:v>
      </x:c>
      <x:c r="F33" s="9" t="str">
        <x:v>U3_10102</x:v>
      </x:c>
      <x:c r="G33" s="9" t="str">
        <x:v>화염군주</x:v>
      </x:c>
      <x:c r="H33" s="9" t="n">
        <x:v>3</x:v>
      </x:c>
      <x:c r="I33" s="9" t="str">
        <x:v>예</x:v>
      </x:c>
      <x:c r="J33" s="9" t="str">
        <x:v>기사×1 + 버퍼×1 + 마법사×2</x:v>
      </x:c>
    </x:row>
    <x:row r="34" ht="54" customHeight="1">
      <x:c r="A34" s="10" t="str">
        <x:v>R_U2_00002_U2_11000</x:v>
      </x:c>
      <x:c r="B34" s="10" t="str">
        <x:v>U2_00002</x:v>
      </x:c>
      <x:c r="C34" s="10" t="str">
        <x:v>대마법사</x:v>
      </x:c>
      <x:c r="D34" s="10" t="str">
        <x:v>U2_11000</x:v>
      </x:c>
      <x:c r="E34" s="10" t="str">
        <x:v>척후병</x:v>
      </x:c>
      <x:c r="F34" s="10" t="str">
        <x:v>U3_11002</x:v>
      </x:c>
      <x:c r="G34" s="10" t="str">
        <x:v>룬포격기사</x:v>
      </x:c>
      <x:c r="H34" s="10" t="n">
        <x:v>3</x:v>
      </x:c>
      <x:c r="I34" s="10" t="str">
        <x:v>예</x:v>
      </x:c>
      <x:c r="J34" s="10" t="str">
        <x:v>기사×1 + 궁수×1 + 마법사×2</x:v>
      </x:c>
    </x:row>
    <x:row r="35" ht="54" customHeight="1">
      <x:c r="A35" s="9" t="str">
        <x:v>R_U2_00002_U2_20000</x:v>
      </x:c>
      <x:c r="B35" s="9" t="str">
        <x:v>U2_00002</x:v>
      </x:c>
      <x:c r="C35" s="9" t="str">
        <x:v>대마법사</x:v>
      </x:c>
      <x:c r="D35" s="9" t="str">
        <x:v>U2_20000</x:v>
      </x:c>
      <x:c r="E35" s="9" t="str">
        <x:v>중갑병</x:v>
      </x:c>
      <x:c r="F35" s="9" t="str">
        <x:v>U3_20002</x:v>
      </x:c>
      <x:c r="G35" s="9" t="str">
        <x:v>룬수호자</x:v>
      </x:c>
      <x:c r="H35" s="9" t="n">
        <x:v>3</x:v>
      </x:c>
      <x:c r="I35" s="9" t="str">
        <x:v>예</x:v>
      </x:c>
      <x:c r="J35" s="9" t="str">
        <x:v>기사×2 + 마법사×2</x:v>
      </x:c>
    </x:row>
    <x:row r="36" ht="54" customHeight="1">
      <x:c r="A36" s="10" t="str">
        <x:v>R_U2_00011_U2_00011</x:v>
      </x:c>
      <x:c r="B36" s="10" t="str">
        <x:v>U2_00011</x:v>
      </x:c>
      <x:c r="C36" s="10" t="str">
        <x:v>서리술사</x:v>
      </x:c>
      <x:c r="D36" s="10" t="str">
        <x:v>U2_00011</x:v>
      </x:c>
      <x:c r="E36" s="10" t="str">
        <x:v>서리술사</x:v>
      </x:c>
      <x:c r="F36" s="10" t="str">
        <x:v>U3_00022</x:v>
      </x:c>
      <x:c r="G36" s="10" t="str">
        <x:v>빙하치유사</x:v>
      </x:c>
      <x:c r="H36" s="10" t="n">
        <x:v>3</x:v>
      </x:c>
      <x:c r="I36" s="10" t="str">
        <x:v>아니오</x:v>
      </x:c>
      <x:c r="J36" s="10" t="str">
        <x:v>힐러×2 + 마법사×2</x:v>
      </x:c>
    </x:row>
    <x:row r="37" ht="54" customHeight="1">
      <x:c r="A37" s="9" t="str">
        <x:v>R_U2_00011_U2_00020</x:v>
      </x:c>
      <x:c r="B37" s="9" t="str">
        <x:v>U2_00011</x:v>
      </x:c>
      <x:c r="C37" s="9" t="str">
        <x:v>서리술사</x:v>
      </x:c>
      <x:c r="D37" s="9" t="str">
        <x:v>U2_00020</x:v>
      </x:c>
      <x:c r="E37" s="9" t="str">
        <x:v>대치유사</x:v>
      </x:c>
      <x:c r="F37" s="9" t="str">
        <x:v>U3_00031</x:v>
      </x:c>
      <x:c r="G37" s="9" t="str">
        <x:v>설원의 성자</x:v>
      </x:c>
      <x:c r="H37" s="9" t="n">
        <x:v>3</x:v>
      </x:c>
      <x:c r="I37" s="9" t="str">
        <x:v>예</x:v>
      </x:c>
      <x:c r="J37" s="9" t="str">
        <x:v>힐러×3 + 마법사×1</x:v>
      </x:c>
    </x:row>
    <x:row r="38" ht="54" customHeight="1">
      <x:c r="A38" s="10" t="str">
        <x:v>R_U2_00011_U2_00101</x:v>
      </x:c>
      <x:c r="B38" s="10" t="str">
        <x:v>U2_00011</x:v>
      </x:c>
      <x:c r="C38" s="10" t="str">
        <x:v>서리술사</x:v>
      </x:c>
      <x:c r="D38" s="10" t="str">
        <x:v>U2_00101</x:v>
      </x:c>
      <x:c r="E38" s="10" t="str">
        <x:v>주술사</x:v>
      </x:c>
      <x:c r="F38" s="10" t="str">
        <x:v>U3_00112</x:v>
      </x:c>
      <x:c r="G38" s="10" t="str">
        <x:v>황혼현자</x:v>
      </x:c>
      <x:c r="H38" s="10" t="n">
        <x:v>3</x:v>
      </x:c>
      <x:c r="I38" s="10" t="str">
        <x:v>아니오</x:v>
      </x:c>
      <x:c r="J38" s="10" t="str">
        <x:v>버퍼×1 + 힐러×1 + 마법사×2</x:v>
      </x:c>
    </x:row>
    <x:row r="39" ht="54" customHeight="1">
      <x:c r="A39" s="9" t="str">
        <x:v>R_U2_00011_U2_00110</x:v>
      </x:c>
      <x:c r="B39" s="9" t="str">
        <x:v>U2_00011</x:v>
      </x:c>
      <x:c r="C39" s="9" t="str">
        <x:v>서리술사</x:v>
      </x:c>
      <x:c r="D39" s="9" t="str">
        <x:v>U2_00110</x:v>
      </x:c>
      <x:c r="E39" s="9" t="str">
        <x:v>사제</x:v>
      </x:c>
      <x:c r="F39" s="9" t="str">
        <x:v>U3_00121</x:v>
      </x:c>
      <x:c r="G39" s="9" t="str">
        <x:v>황혼성직자</x:v>
      </x:c>
      <x:c r="H39" s="9" t="n">
        <x:v>3</x:v>
      </x:c>
      <x:c r="I39" s="9" t="str">
        <x:v>예</x:v>
      </x:c>
      <x:c r="J39" s="9" t="str">
        <x:v>버퍼×1 + 힐러×2 + 마법사×1</x:v>
      </x:c>
    </x:row>
    <x:row r="40" ht="54" customHeight="1">
      <x:c r="A40" s="10" t="str">
        <x:v>R_U2_00011_U2_00200</x:v>
      </x:c>
      <x:c r="B40" s="10" t="str">
        <x:v>U2_00011</x:v>
      </x:c>
      <x:c r="C40" s="10" t="str">
        <x:v>서리술사</x:v>
      </x:c>
      <x:c r="D40" s="10" t="str">
        <x:v>U2_00200</x:v>
      </x:c>
      <x:c r="E40" s="10" t="str">
        <x:v>기수</x:v>
      </x:c>
      <x:c r="F40" s="10" t="str">
        <x:v>U3_00211</x:v>
      </x:c>
      <x:c r="G40" s="10" t="str">
        <x:v>월광사제</x:v>
      </x:c>
      <x:c r="H40" s="10" t="n">
        <x:v>3</x:v>
      </x:c>
      <x:c r="I40" s="10" t="str">
        <x:v>예</x:v>
      </x:c>
      <x:c r="J40" s="10" t="str">
        <x:v>버퍼×2 + 힐러×1 + 마법사×1</x:v>
      </x:c>
    </x:row>
    <x:row r="41" ht="54" customHeight="1">
      <x:c r="A41" s="9" t="str">
        <x:v>R_U2_00011_U2_01001</x:v>
      </x:c>
      <x:c r="B41" s="9" t="str">
        <x:v>U2_00011</x:v>
      </x:c>
      <x:c r="C41" s="9" t="str">
        <x:v>서리술사</x:v>
      </x:c>
      <x:c r="D41" s="9" t="str">
        <x:v>U2_01001</x:v>
      </x:c>
      <x:c r="E41" s="9" t="str">
        <x:v>마탄사수</x:v>
      </x:c>
      <x:c r="F41" s="9" t="str">
        <x:v>U3_01012</x:v>
      </x:c>
      <x:c r="G41" s="9" t="str">
        <x:v>역병사냥꾼</x:v>
      </x:c>
      <x:c r="H41" s="9" t="n">
        <x:v>3</x:v>
      </x:c>
      <x:c r="I41" s="9" t="str">
        <x:v>아니오</x:v>
      </x:c>
      <x:c r="J41" s="9" t="str">
        <x:v>궁수×1 + 힐러×1 + 마법사×2</x:v>
      </x:c>
    </x:row>
    <x:row r="42" ht="54" customHeight="1">
      <x:c r="A42" s="10" t="str">
        <x:v>R_U2_00011_U2_01010</x:v>
      </x:c>
      <x:c r="B42" s="10" t="str">
        <x:v>U2_00011</x:v>
      </x:c>
      <x:c r="C42" s="10" t="str">
        <x:v>서리술사</x:v>
      </x:c>
      <x:c r="D42" s="10" t="str">
        <x:v>U2_01010</x:v>
      </x:c>
      <x:c r="E42" s="10" t="str">
        <x:v>숲지기</x:v>
      </x:c>
      <x:c r="F42" s="10" t="str">
        <x:v>U3_01021</x:v>
      </x:c>
      <x:c r="G42" s="10" t="str">
        <x:v>서리숲 현자</x:v>
      </x:c>
      <x:c r="H42" s="10" t="n">
        <x:v>3</x:v>
      </x:c>
      <x:c r="I42" s="10" t="str">
        <x:v>예</x:v>
      </x:c>
      <x:c r="J42" s="10" t="str">
        <x:v>궁수×1 + 힐러×2 + 마법사×1</x:v>
      </x:c>
    </x:row>
    <x:row r="43" ht="54" customHeight="1">
      <x:c r="A43" s="9" t="str">
        <x:v>R_U2_00011_U2_01100</x:v>
      </x:c>
      <x:c r="B43" s="9" t="str">
        <x:v>U2_00011</x:v>
      </x:c>
      <x:c r="C43" s="9" t="str">
        <x:v>서리술사</x:v>
      </x:c>
      <x:c r="D43" s="9" t="str">
        <x:v>U2_01100</x:v>
      </x:c>
      <x:c r="E43" s="9" t="str">
        <x:v>군악궁수</x:v>
      </x:c>
      <x:c r="F43" s="9" t="str">
        <x:v>U3_01111</x:v>
      </x:c>
      <x:c r="G43" s="9" t="str">
        <x:v>세계수의 전령</x:v>
      </x:c>
      <x:c r="H43" s="9" t="n">
        <x:v>3</x:v>
      </x:c>
      <x:c r="I43" s="9" t="str">
        <x:v>예</x:v>
      </x:c>
      <x:c r="J43" s="9" t="str">
        <x:v>궁수×1 + 버퍼×1 + 힐러×1 + 마법사×1</x:v>
      </x:c>
    </x:row>
    <x:row r="44" ht="54" customHeight="1">
      <x:c r="A44" s="10" t="str">
        <x:v>R_U2_00011_U2_02000</x:v>
      </x:c>
      <x:c r="B44" s="10" t="str">
        <x:v>U2_00011</x:v>
      </x:c>
      <x:c r="C44" s="10" t="str">
        <x:v>서리술사</x:v>
      </x:c>
      <x:c r="D44" s="10" t="str">
        <x:v>U2_02000</x:v>
      </x:c>
      <x:c r="E44" s="10" t="str">
        <x:v>명사수</x:v>
      </x:c>
      <x:c r="F44" s="10" t="str">
        <x:v>U3_02011</x:v>
      </x:c>
      <x:c r="G44" s="10" t="str">
        <x:v>겨울숲 사냥꾼</x:v>
      </x:c>
      <x:c r="H44" s="10" t="n">
        <x:v>3</x:v>
      </x:c>
      <x:c r="I44" s="10" t="str">
        <x:v>예</x:v>
      </x:c>
      <x:c r="J44" s="10" t="str">
        <x:v>궁수×2 + 힐러×1 + 마법사×1</x:v>
      </x:c>
    </x:row>
    <x:row r="45" ht="54" customHeight="1">
      <x:c r="A45" s="9" t="str">
        <x:v>R_U2_00011_U2_10001</x:v>
      </x:c>
      <x:c r="B45" s="9" t="str">
        <x:v>U2_00011</x:v>
      </x:c>
      <x:c r="C45" s="9" t="str">
        <x:v>서리술사</x:v>
      </x:c>
      <x:c r="D45" s="9" t="str">
        <x:v>U2_10001</x:v>
      </x:c>
      <x:c r="E45" s="9" t="str">
        <x:v>마검사</x:v>
      </x:c>
      <x:c r="F45" s="9" t="str">
        <x:v>U3_10012</x:v>
      </x:c>
      <x:c r="G45" s="9" t="str">
        <x:v>빙하수호자</x:v>
      </x:c>
      <x:c r="H45" s="9" t="n">
        <x:v>3</x:v>
      </x:c>
      <x:c r="I45" s="9" t="str">
        <x:v>아니오</x:v>
      </x:c>
      <x:c r="J45" s="9" t="str">
        <x:v>기사×1 + 힐러×1 + 마법사×2</x:v>
      </x:c>
    </x:row>
    <x:row r="46" ht="54" customHeight="1">
      <x:c r="A46" s="10" t="str">
        <x:v>R_U2_00011_U2_10010</x:v>
      </x:c>
      <x:c r="B46" s="10" t="str">
        <x:v>U2_00011</x:v>
      </x:c>
      <x:c r="C46" s="10" t="str">
        <x:v>서리술사</x:v>
      </x:c>
      <x:c r="D46" s="10" t="str">
        <x:v>U2_10010</x:v>
      </x:c>
      <x:c r="E46" s="10" t="str">
        <x:v>성기사</x:v>
      </x:c>
      <x:c r="F46" s="10" t="str">
        <x:v>U3_10021</x:v>
      </x:c>
      <x:c r="G46" s="10" t="str">
        <x:v>설원구호기사</x:v>
      </x:c>
      <x:c r="H46" s="10" t="n">
        <x:v>3</x:v>
      </x:c>
      <x:c r="I46" s="10" t="str">
        <x:v>예</x:v>
      </x:c>
      <x:c r="J46" s="10" t="str">
        <x:v>기사×1 + 힐러×2 + 마법사×1</x:v>
      </x:c>
    </x:row>
    <x:row r="47" ht="54" customHeight="1">
      <x:c r="A47" s="9" t="str">
        <x:v>R_U2_00011_U2_10100</x:v>
      </x:c>
      <x:c r="B47" s="9" t="str">
        <x:v>U2_00011</x:v>
      </x:c>
      <x:c r="C47" s="9" t="str">
        <x:v>서리술사</x:v>
      </x:c>
      <x:c r="D47" s="9" t="str">
        <x:v>U2_10100</x:v>
      </x:c>
      <x:c r="E47" s="9" t="str">
        <x:v>지휘관</x:v>
      </x:c>
      <x:c r="F47" s="9" t="str">
        <x:v>U3_10111</x:v>
      </x:c>
      <x:c r="G47" s="9" t="str">
        <x:v>황혼수호사제</x:v>
      </x:c>
      <x:c r="H47" s="9" t="n">
        <x:v>3</x:v>
      </x:c>
      <x:c r="I47" s="9" t="str">
        <x:v>예</x:v>
      </x:c>
      <x:c r="J47" s="9" t="str">
        <x:v>기사×1 + 버퍼×1 + 힐러×1 + 마법사×1</x:v>
      </x:c>
    </x:row>
    <x:row r="48" ht="54" customHeight="1">
      <x:c r="A48" s="10" t="str">
        <x:v>R_U2_00011_U2_11000</x:v>
      </x:c>
      <x:c r="B48" s="10" t="str">
        <x:v>U2_00011</x:v>
      </x:c>
      <x:c r="C48" s="10" t="str">
        <x:v>서리술사</x:v>
      </x:c>
      <x:c r="D48" s="10" t="str">
        <x:v>U2_11000</x:v>
      </x:c>
      <x:c r="E48" s="10" t="str">
        <x:v>척후병</x:v>
      </x:c>
      <x:c r="F48" s="10" t="str">
        <x:v>U3_11011</x:v>
      </x:c>
      <x:c r="G48" s="10" t="str">
        <x:v>심판자</x:v>
      </x:c>
      <x:c r="H48" s="10" t="n">
        <x:v>3</x:v>
      </x:c>
      <x:c r="I48" s="10" t="str">
        <x:v>예</x:v>
      </x:c>
      <x:c r="J48" s="10" t="str">
        <x:v>기사×1 + 궁수×1 + 힐러×1 + 마법사×1</x:v>
      </x:c>
    </x:row>
    <x:row r="49" ht="54" customHeight="1">
      <x:c r="A49" s="9" t="str">
        <x:v>R_U2_00011_U2_20000</x:v>
      </x:c>
      <x:c r="B49" s="9" t="str">
        <x:v>U2_00011</x:v>
      </x:c>
      <x:c r="C49" s="9" t="str">
        <x:v>서리술사</x:v>
      </x:c>
      <x:c r="D49" s="9" t="str">
        <x:v>U2_20000</x:v>
      </x:c>
      <x:c r="E49" s="9" t="str">
        <x:v>중갑병</x:v>
      </x:c>
      <x:c r="F49" s="9" t="str">
        <x:v>U3_20011</x:v>
      </x:c>
      <x:c r="G49" s="9" t="str">
        <x:v>서리성기사</x:v>
      </x:c>
      <x:c r="H49" s="9" t="n">
        <x:v>3</x:v>
      </x:c>
      <x:c r="I49" s="9" t="str">
        <x:v>예</x:v>
      </x:c>
      <x:c r="J49" s="9" t="str">
        <x:v>기사×2 + 힐러×1 + 마법사×1</x:v>
      </x:c>
    </x:row>
    <x:row r="50" ht="54" customHeight="1">
      <x:c r="A50" s="10" t="str">
        <x:v>R_U2_00020_U2_00020</x:v>
      </x:c>
      <x:c r="B50" s="10" t="str">
        <x:v>U2_00020</x:v>
      </x:c>
      <x:c r="C50" s="10" t="str">
        <x:v>대치유사</x:v>
      </x:c>
      <x:c r="D50" s="10" t="str">
        <x:v>U2_00020</x:v>
      </x:c>
      <x:c r="E50" s="10" t="str">
        <x:v>대치유사</x:v>
      </x:c>
      <x:c r="F50" s="10" t="str">
        <x:v>U3_00040</x:v>
      </x:c>
      <x:c r="G50" s="10" t="str">
        <x:v>생명의 대성자</x:v>
      </x:c>
      <x:c r="H50" s="10" t="n">
        <x:v>3</x:v>
      </x:c>
      <x:c r="I50" s="10" t="str">
        <x:v>예</x:v>
      </x:c>
      <x:c r="J50" s="10" t="str">
        <x:v>힐러×4</x:v>
      </x:c>
    </x:row>
    <x:row r="51" ht="54" customHeight="1">
      <x:c r="A51" s="9" t="str">
        <x:v>R_U2_00020_U2_00101</x:v>
      </x:c>
      <x:c r="B51" s="9" t="str">
        <x:v>U2_00020</x:v>
      </x:c>
      <x:c r="C51" s="9" t="str">
        <x:v>대치유사</x:v>
      </x:c>
      <x:c r="D51" s="9" t="str">
        <x:v>U2_00101</x:v>
      </x:c>
      <x:c r="E51" s="9" t="str">
        <x:v>주술사</x:v>
      </x:c>
      <x:c r="F51" s="9" t="str">
        <x:v>U3_00121</x:v>
      </x:c>
      <x:c r="G51" s="9" t="str">
        <x:v>황혼성직자</x:v>
      </x:c>
      <x:c r="H51" s="9" t="n">
        <x:v>3</x:v>
      </x:c>
      <x:c r="I51" s="9" t="str">
        <x:v>아니오</x:v>
      </x:c>
      <x:c r="J51" s="9" t="str">
        <x:v>버퍼×1 + 힐러×2 + 마법사×1</x:v>
      </x:c>
    </x:row>
    <x:row r="52" ht="54" customHeight="1">
      <x:c r="A52" s="10" t="str">
        <x:v>R_U2_00020_U2_00110</x:v>
      </x:c>
      <x:c r="B52" s="10" t="str">
        <x:v>U2_00020</x:v>
      </x:c>
      <x:c r="C52" s="10" t="str">
        <x:v>대치유사</x:v>
      </x:c>
      <x:c r="D52" s="10" t="str">
        <x:v>U2_00110</x:v>
      </x:c>
      <x:c r="E52" s="10" t="str">
        <x:v>사제</x:v>
      </x:c>
      <x:c r="F52" s="10" t="str">
        <x:v>U3_00130</x:v>
      </x:c>
      <x:c r="G52" s="10" t="str">
        <x:v>성가대장</x:v>
      </x:c>
      <x:c r="H52" s="10" t="n">
        <x:v>3</x:v>
      </x:c>
      <x:c r="I52" s="10" t="str">
        <x:v>예</x:v>
      </x:c>
      <x:c r="J52" s="10" t="str">
        <x:v>버퍼×1 + 힐러×3</x:v>
      </x:c>
    </x:row>
    <x:row r="53" ht="54" customHeight="1">
      <x:c r="A53" s="9" t="str">
        <x:v>R_U2_00020_U2_00200</x:v>
      </x:c>
      <x:c r="B53" s="9" t="str">
        <x:v>U2_00020</x:v>
      </x:c>
      <x:c r="C53" s="9" t="str">
        <x:v>대치유사</x:v>
      </x:c>
      <x:c r="D53" s="9" t="str">
        <x:v>U2_00200</x:v>
      </x:c>
      <x:c r="E53" s="9" t="str">
        <x:v>기수</x:v>
      </x:c>
      <x:c r="F53" s="9" t="str">
        <x:v>U3_00220</x:v>
      </x:c>
      <x:c r="G53" s="9" t="str">
        <x:v>축복사제</x:v>
      </x:c>
      <x:c r="H53" s="9" t="n">
        <x:v>3</x:v>
      </x:c>
      <x:c r="I53" s="9" t="str">
        <x:v>예</x:v>
      </x:c>
      <x:c r="J53" s="9" t="str">
        <x:v>버퍼×2 + 힐러×2</x:v>
      </x:c>
    </x:row>
    <x:row r="54" ht="54" customHeight="1">
      <x:c r="A54" s="10" t="str">
        <x:v>R_U2_00020_U2_01001</x:v>
      </x:c>
      <x:c r="B54" s="10" t="str">
        <x:v>U2_00020</x:v>
      </x:c>
      <x:c r="C54" s="10" t="str">
        <x:v>대치유사</x:v>
      </x:c>
      <x:c r="D54" s="10" t="str">
        <x:v>U2_01001</x:v>
      </x:c>
      <x:c r="E54" s="10" t="str">
        <x:v>마탄사수</x:v>
      </x:c>
      <x:c r="F54" s="10" t="str">
        <x:v>U3_01021</x:v>
      </x:c>
      <x:c r="G54" s="10" t="str">
        <x:v>서리숲 현자</x:v>
      </x:c>
      <x:c r="H54" s="10" t="n">
        <x:v>3</x:v>
      </x:c>
      <x:c r="I54" s="10" t="str">
        <x:v>아니오</x:v>
      </x:c>
      <x:c r="J54" s="10" t="str">
        <x:v>궁수×1 + 힐러×2 + 마법사×1</x:v>
      </x:c>
    </x:row>
    <x:row r="55" ht="54" customHeight="1">
      <x:c r="A55" s="9" t="str">
        <x:v>R_U2_00020_U2_01010</x:v>
      </x:c>
      <x:c r="B55" s="9" t="str">
        <x:v>U2_00020</x:v>
      </x:c>
      <x:c r="C55" s="9" t="str">
        <x:v>대치유사</x:v>
      </x:c>
      <x:c r="D55" s="9" t="str">
        <x:v>U2_01010</x:v>
      </x:c>
      <x:c r="E55" s="9" t="str">
        <x:v>숲지기</x:v>
      </x:c>
      <x:c r="F55" s="9" t="str">
        <x:v>U3_01030</x:v>
      </x:c>
      <x:c r="G55" s="9" t="str">
        <x:v>숲의 순례자</x:v>
      </x:c>
      <x:c r="H55" s="9" t="n">
        <x:v>3</x:v>
      </x:c>
      <x:c r="I55" s="9" t="str">
        <x:v>예</x:v>
      </x:c>
      <x:c r="J55" s="9" t="str">
        <x:v>궁수×1 + 힐러×3</x:v>
      </x:c>
    </x:row>
    <x:row r="56" ht="54" customHeight="1">
      <x:c r="A56" s="10" t="str">
        <x:v>R_U2_00020_U2_01100</x:v>
      </x:c>
      <x:c r="B56" s="10" t="str">
        <x:v>U2_00020</x:v>
      </x:c>
      <x:c r="C56" s="10" t="str">
        <x:v>대치유사</x:v>
      </x:c>
      <x:c r="D56" s="10" t="str">
        <x:v>U2_01100</x:v>
      </x:c>
      <x:c r="E56" s="10" t="str">
        <x:v>군악궁수</x:v>
      </x:c>
      <x:c r="F56" s="10" t="str">
        <x:v>U3_01120</x:v>
      </x:c>
      <x:c r="G56" s="10" t="str">
        <x:v>봄의 전도사</x:v>
      </x:c>
      <x:c r="H56" s="10" t="n">
        <x:v>3</x:v>
      </x:c>
      <x:c r="I56" s="10" t="str">
        <x:v>예</x:v>
      </x:c>
      <x:c r="J56" s="10" t="str">
        <x:v>궁수×1 + 버퍼×1 + 힐러×2</x:v>
      </x:c>
    </x:row>
    <x:row r="57" ht="54" customHeight="1">
      <x:c r="A57" s="9" t="str">
        <x:v>R_U2_00020_U2_02000</x:v>
      </x:c>
      <x:c r="B57" s="9" t="str">
        <x:v>U2_00020</x:v>
      </x:c>
      <x:c r="C57" s="9" t="str">
        <x:v>대치유사</x:v>
      </x:c>
      <x:c r="D57" s="9" t="str">
        <x:v>U2_02000</x:v>
      </x:c>
      <x:c r="E57" s="9" t="str">
        <x:v>명사수</x:v>
      </x:c>
      <x:c r="F57" s="9" t="str">
        <x:v>U3_02020</x:v>
      </x:c>
      <x:c r="G57" s="9" t="str">
        <x:v>생명궁성</x:v>
      </x:c>
      <x:c r="H57" s="9" t="n">
        <x:v>3</x:v>
      </x:c>
      <x:c r="I57" s="9" t="str">
        <x:v>예</x:v>
      </x:c>
      <x:c r="J57" s="9" t="str">
        <x:v>궁수×2 + 힐러×2</x:v>
      </x:c>
    </x:row>
    <x:row r="58" ht="54" customHeight="1">
      <x:c r="A58" s="10" t="str">
        <x:v>R_U2_00020_U2_10001</x:v>
      </x:c>
      <x:c r="B58" s="10" t="str">
        <x:v>U2_00020</x:v>
      </x:c>
      <x:c r="C58" s="10" t="str">
        <x:v>대치유사</x:v>
      </x:c>
      <x:c r="D58" s="10" t="str">
        <x:v>U2_10001</x:v>
      </x:c>
      <x:c r="E58" s="10" t="str">
        <x:v>마검사</x:v>
      </x:c>
      <x:c r="F58" s="10" t="str">
        <x:v>U3_10021</x:v>
      </x:c>
      <x:c r="G58" s="10" t="str">
        <x:v>설원구호기사</x:v>
      </x:c>
      <x:c r="H58" s="10" t="n">
        <x:v>3</x:v>
      </x:c>
      <x:c r="I58" s="10" t="str">
        <x:v>아니오</x:v>
      </x:c>
      <x:c r="J58" s="10" t="str">
        <x:v>기사×1 + 힐러×2 + 마법사×1</x:v>
      </x:c>
    </x:row>
    <x:row r="59" ht="54" customHeight="1">
      <x:c r="A59" s="9" t="str">
        <x:v>R_U2_00020_U2_10010</x:v>
      </x:c>
      <x:c r="B59" s="9" t="str">
        <x:v>U2_00020</x:v>
      </x:c>
      <x:c r="C59" s="9" t="str">
        <x:v>대치유사</x:v>
      </x:c>
      <x:c r="D59" s="9" t="str">
        <x:v>U2_10010</x:v>
      </x:c>
      <x:c r="E59" s="9" t="str">
        <x:v>성기사</x:v>
      </x:c>
      <x:c r="F59" s="9" t="str">
        <x:v>U3_10030</x:v>
      </x:c>
      <x:c r="G59" s="9" t="str">
        <x:v>구호기사</x:v>
      </x:c>
      <x:c r="H59" s="9" t="n">
        <x:v>3</x:v>
      </x:c>
      <x:c r="I59" s="9" t="str">
        <x:v>예</x:v>
      </x:c>
      <x:c r="J59" s="9" t="str">
        <x:v>기사×1 + 힐러×3</x:v>
      </x:c>
    </x:row>
    <x:row r="60" ht="54" customHeight="1">
      <x:c r="A60" s="10" t="str">
        <x:v>R_U2_00020_U2_10100</x:v>
      </x:c>
      <x:c r="B60" s="10" t="str">
        <x:v>U2_00020</x:v>
      </x:c>
      <x:c r="C60" s="10" t="str">
        <x:v>대치유사</x:v>
      </x:c>
      <x:c r="D60" s="10" t="str">
        <x:v>U2_10100</x:v>
      </x:c>
      <x:c r="E60" s="10" t="str">
        <x:v>지휘관</x:v>
      </x:c>
      <x:c r="F60" s="10" t="str">
        <x:v>U3_10120</x:v>
      </x:c>
      <x:c r="G60" s="10" t="str">
        <x:v>성당수호자</x:v>
      </x:c>
      <x:c r="H60" s="10" t="n">
        <x:v>3</x:v>
      </x:c>
      <x:c r="I60" s="10" t="str">
        <x:v>예</x:v>
      </x:c>
      <x:c r="J60" s="10" t="str">
        <x:v>기사×1 + 버퍼×1 + 힐러×2</x:v>
      </x:c>
    </x:row>
    <x:row r="61" ht="54" customHeight="1">
      <x:c r="A61" s="9" t="str">
        <x:v>R_U2_00020_U2_11000</x:v>
      </x:c>
      <x:c r="B61" s="9" t="str">
        <x:v>U2_00020</x:v>
      </x:c>
      <x:c r="C61" s="9" t="str">
        <x:v>대치유사</x:v>
      </x:c>
      <x:c r="D61" s="9" t="str">
        <x:v>U2_11000</x:v>
      </x:c>
      <x:c r="E61" s="9" t="str">
        <x:v>척후병</x:v>
      </x:c>
      <x:c r="F61" s="9" t="str">
        <x:v>U3_11020</x:v>
      </x:c>
      <x:c r="G61" s="9" t="str">
        <x:v>생명의 감시자</x:v>
      </x:c>
      <x:c r="H61" s="9" t="n">
        <x:v>3</x:v>
      </x:c>
      <x:c r="I61" s="9" t="str">
        <x:v>예</x:v>
      </x:c>
      <x:c r="J61" s="9" t="str">
        <x:v>기사×1 + 궁수×1 + 힐러×2</x:v>
      </x:c>
    </x:row>
    <x:row r="62" ht="54" customHeight="1">
      <x:c r="A62" s="10" t="str">
        <x:v>R_U2_00020_U2_20000</x:v>
      </x:c>
      <x:c r="B62" s="10" t="str">
        <x:v>U2_00020</x:v>
      </x:c>
      <x:c r="C62" s="10" t="str">
        <x:v>대치유사</x:v>
      </x:c>
      <x:c r="D62" s="10" t="str">
        <x:v>U2_20000</x:v>
      </x:c>
      <x:c r="E62" s="10" t="str">
        <x:v>중갑병</x:v>
      </x:c>
      <x:c r="F62" s="10" t="str">
        <x:v>U3_20020</x:v>
      </x:c>
      <x:c r="G62" s="10" t="str">
        <x:v>성역기사</x:v>
      </x:c>
      <x:c r="H62" s="10" t="n">
        <x:v>3</x:v>
      </x:c>
      <x:c r="I62" s="10" t="str">
        <x:v>예</x:v>
      </x:c>
      <x:c r="J62" s="10" t="str">
        <x:v>기사×2 + 힐러×2</x:v>
      </x:c>
    </x:row>
    <x:row r="63" ht="54" customHeight="1">
      <x:c r="A63" s="9" t="str">
        <x:v>R_U2_00101_U2_00101</x:v>
      </x:c>
      <x:c r="B63" s="9" t="str">
        <x:v>U2_00101</x:v>
      </x:c>
      <x:c r="C63" s="9" t="str">
        <x:v>주술사</x:v>
      </x:c>
      <x:c r="D63" s="9" t="str">
        <x:v>U2_00101</x:v>
      </x:c>
      <x:c r="E63" s="9" t="str">
        <x:v>주술사</x:v>
      </x:c>
      <x:c r="F63" s="9" t="str">
        <x:v>U3_00202</x:v>
      </x:c>
      <x:c r="G63" s="9" t="str">
        <x:v>마력지휘자</x:v>
      </x:c>
      <x:c r="H63" s="9" t="n">
        <x:v>3</x:v>
      </x:c>
      <x:c r="I63" s="9" t="str">
        <x:v>아니오</x:v>
      </x:c>
      <x:c r="J63" s="9" t="str">
        <x:v>버퍼×2 + 마법사×2</x:v>
      </x:c>
    </x:row>
    <x:row r="64" ht="54" customHeight="1">
      <x:c r="A64" s="10" t="str">
        <x:v>R_U2_00101_U2_00110</x:v>
      </x:c>
      <x:c r="B64" s="10" t="str">
        <x:v>U2_00101</x:v>
      </x:c>
      <x:c r="C64" s="10" t="str">
        <x:v>주술사</x:v>
      </x:c>
      <x:c r="D64" s="10" t="str">
        <x:v>U2_00110</x:v>
      </x:c>
      <x:c r="E64" s="10" t="str">
        <x:v>사제</x:v>
      </x:c>
      <x:c r="F64" s="10" t="str">
        <x:v>U3_00211</x:v>
      </x:c>
      <x:c r="G64" s="10" t="str">
        <x:v>월광사제</x:v>
      </x:c>
      <x:c r="H64" s="10" t="n">
        <x:v>3</x:v>
      </x:c>
      <x:c r="I64" s="10" t="str">
        <x:v>아니오</x:v>
      </x:c>
      <x:c r="J64" s="10" t="str">
        <x:v>버퍼×2 + 힐러×1 + 마법사×1</x:v>
      </x:c>
    </x:row>
    <x:row r="65" ht="54" customHeight="1">
      <x:c r="A65" s="9" t="str">
        <x:v>R_U2_00101_U2_00200</x:v>
      </x:c>
      <x:c r="B65" s="9" t="str">
        <x:v>U2_00101</x:v>
      </x:c>
      <x:c r="C65" s="9" t="str">
        <x:v>주술사</x:v>
      </x:c>
      <x:c r="D65" s="9" t="str">
        <x:v>U2_00200</x:v>
      </x:c>
      <x:c r="E65" s="9" t="str">
        <x:v>기수</x:v>
      </x:c>
      <x:c r="F65" s="9" t="str">
        <x:v>U3_00301</x:v>
      </x:c>
      <x:c r="G65" s="9" t="str">
        <x:v>룬설계자</x:v>
      </x:c>
      <x:c r="H65" s="9" t="n">
        <x:v>3</x:v>
      </x:c>
      <x:c r="I65" s="9" t="str">
        <x:v>예</x:v>
      </x:c>
      <x:c r="J65" s="9" t="str">
        <x:v>버퍼×3 + 마법사×1</x:v>
      </x:c>
    </x:row>
    <x:row r="66" ht="54" customHeight="1">
      <x:c r="A66" s="10" t="str">
        <x:v>R_U2_00101_U2_01001</x:v>
      </x:c>
      <x:c r="B66" s="10" t="str">
        <x:v>U2_00101</x:v>
      </x:c>
      <x:c r="C66" s="10" t="str">
        <x:v>주술사</x:v>
      </x:c>
      <x:c r="D66" s="10" t="str">
        <x:v>U2_01001</x:v>
      </x:c>
      <x:c r="E66" s="10" t="str">
        <x:v>마탄사수</x:v>
      </x:c>
      <x:c r="F66" s="10" t="str">
        <x:v>U3_01102</x:v>
      </x:c>
      <x:c r="G66" s="10" t="str">
        <x:v>폭풍지휘술사</x:v>
      </x:c>
      <x:c r="H66" s="10" t="n">
        <x:v>3</x:v>
      </x:c>
      <x:c r="I66" s="10" t="str">
        <x:v>아니오</x:v>
      </x:c>
      <x:c r="J66" s="10" t="str">
        <x:v>궁수×1 + 버퍼×1 + 마법사×2</x:v>
      </x:c>
    </x:row>
    <x:row r="67" ht="54" customHeight="1">
      <x:c r="A67" s="9" t="str">
        <x:v>R_U2_00101_U2_01010</x:v>
      </x:c>
      <x:c r="B67" s="9" t="str">
        <x:v>U2_00101</x:v>
      </x:c>
      <x:c r="C67" s="9" t="str">
        <x:v>주술사</x:v>
      </x:c>
      <x:c r="D67" s="9" t="str">
        <x:v>U2_01010</x:v>
      </x:c>
      <x:c r="E67" s="9" t="str">
        <x:v>숲지기</x:v>
      </x:c>
      <x:c r="F67" s="9" t="str">
        <x:v>U3_01111</x:v>
      </x:c>
      <x:c r="G67" s="9" t="str">
        <x:v>세계수의 전령</x:v>
      </x:c>
      <x:c r="H67" s="9" t="n">
        <x:v>3</x:v>
      </x:c>
      <x:c r="I67" s="9" t="str">
        <x:v>아니오</x:v>
      </x:c>
      <x:c r="J67" s="9" t="str">
        <x:v>궁수×1 + 버퍼×1 + 힐러×1 + 마법사×1</x:v>
      </x:c>
    </x:row>
    <x:row r="68" ht="54" customHeight="1">
      <x:c r="A68" s="10" t="str">
        <x:v>R_U2_00101_U2_01100</x:v>
      </x:c>
      <x:c r="B68" s="10" t="str">
        <x:v>U2_00101</x:v>
      </x:c>
      <x:c r="C68" s="10" t="str">
        <x:v>주술사</x:v>
      </x:c>
      <x:c r="D68" s="10" t="str">
        <x:v>U2_01100</x:v>
      </x:c>
      <x:c r="E68" s="10" t="str">
        <x:v>군악궁수</x:v>
      </x:c>
      <x:c r="F68" s="10" t="str">
        <x:v>U3_01201</x:v>
      </x:c>
      <x:c r="G68" s="10" t="str">
        <x:v>별빛지휘관</x:v>
      </x:c>
      <x:c r="H68" s="10" t="n">
        <x:v>3</x:v>
      </x:c>
      <x:c r="I68" s="10" t="str">
        <x:v>예</x:v>
      </x:c>
      <x:c r="J68" s="10" t="str">
        <x:v>궁수×1 + 버퍼×2 + 마법사×1</x:v>
      </x:c>
    </x:row>
    <x:row r="69" ht="54" customHeight="1">
      <x:c r="A69" s="9" t="str">
        <x:v>R_U2_00101_U2_02000</x:v>
      </x:c>
      <x:c r="B69" s="9" t="str">
        <x:v>U2_00101</x:v>
      </x:c>
      <x:c r="C69" s="9" t="str">
        <x:v>주술사</x:v>
      </x:c>
      <x:c r="D69" s="9" t="str">
        <x:v>U2_02000</x:v>
      </x:c>
      <x:c r="E69" s="9" t="str">
        <x:v>명사수</x:v>
      </x:c>
      <x:c r="F69" s="9" t="str">
        <x:v>U3_02101</x:v>
      </x:c>
      <x:c r="G69" s="9" t="str">
        <x:v>룬연사수</x:v>
      </x:c>
      <x:c r="H69" s="9" t="n">
        <x:v>3</x:v>
      </x:c>
      <x:c r="I69" s="9" t="str">
        <x:v>예</x:v>
      </x:c>
      <x:c r="J69" s="9" t="str">
        <x:v>궁수×2 + 버퍼×1 + 마법사×1</x:v>
      </x:c>
    </x:row>
    <x:row r="70" ht="54" customHeight="1">
      <x:c r="A70" s="10" t="str">
        <x:v>R_U2_00101_U2_10001</x:v>
      </x:c>
      <x:c r="B70" s="10" t="str">
        <x:v>U2_00101</x:v>
      </x:c>
      <x:c r="C70" s="10" t="str">
        <x:v>주술사</x:v>
      </x:c>
      <x:c r="D70" s="10" t="str">
        <x:v>U2_10001</x:v>
      </x:c>
      <x:c r="E70" s="10" t="str">
        <x:v>마검사</x:v>
      </x:c>
      <x:c r="F70" s="10" t="str">
        <x:v>U3_10102</x:v>
      </x:c>
      <x:c r="G70" s="10" t="str">
        <x:v>화염군주</x:v>
      </x:c>
      <x:c r="H70" s="10" t="n">
        <x:v>3</x:v>
      </x:c>
      <x:c r="I70" s="10" t="str">
        <x:v>아니오</x:v>
      </x:c>
      <x:c r="J70" s="10" t="str">
        <x:v>기사×1 + 버퍼×1 + 마법사×2</x:v>
      </x:c>
    </x:row>
    <x:row r="71" ht="54" customHeight="1">
      <x:c r="A71" s="9" t="str">
        <x:v>R_U2_00101_U2_10010</x:v>
      </x:c>
      <x:c r="B71" s="9" t="str">
        <x:v>U2_00101</x:v>
      </x:c>
      <x:c r="C71" s="9" t="str">
        <x:v>주술사</x:v>
      </x:c>
      <x:c r="D71" s="9" t="str">
        <x:v>U2_10010</x:v>
      </x:c>
      <x:c r="E71" s="9" t="str">
        <x:v>성기사</x:v>
      </x:c>
      <x:c r="F71" s="9" t="str">
        <x:v>U3_10111</x:v>
      </x:c>
      <x:c r="G71" s="9" t="str">
        <x:v>황혼수호사제</x:v>
      </x:c>
      <x:c r="H71" s="9" t="n">
        <x:v>3</x:v>
      </x:c>
      <x:c r="I71" s="9" t="str">
        <x:v>아니오</x:v>
      </x:c>
      <x:c r="J71" s="9" t="str">
        <x:v>기사×1 + 버퍼×1 + 힐러×1 + 마법사×1</x:v>
      </x:c>
    </x:row>
    <x:row r="72" ht="54" customHeight="1">
      <x:c r="A72" s="10" t="str">
        <x:v>R_U2_00101_U2_10100</x:v>
      </x:c>
      <x:c r="B72" s="10" t="str">
        <x:v>U2_00101</x:v>
      </x:c>
      <x:c r="C72" s="10" t="str">
        <x:v>주술사</x:v>
      </x:c>
      <x:c r="D72" s="10" t="str">
        <x:v>U2_10100</x:v>
      </x:c>
      <x:c r="E72" s="10" t="str">
        <x:v>지휘관</x:v>
      </x:c>
      <x:c r="F72" s="10" t="str">
        <x:v>U3_10201</x:v>
      </x:c>
      <x:c r="G72" s="10" t="str">
        <x:v>전쟁룬술사</x:v>
      </x:c>
      <x:c r="H72" s="10" t="n">
        <x:v>3</x:v>
      </x:c>
      <x:c r="I72" s="10" t="str">
        <x:v>예</x:v>
      </x:c>
      <x:c r="J72" s="10" t="str">
        <x:v>기사×1 + 버퍼×2 + 마법사×1</x:v>
      </x:c>
    </x:row>
    <x:row r="73" ht="54" customHeight="1">
      <x:c r="A73" s="9" t="str">
        <x:v>R_U2_00101_U2_11000</x:v>
      </x:c>
      <x:c r="B73" s="9" t="str">
        <x:v>U2_00101</x:v>
      </x:c>
      <x:c r="C73" s="9" t="str">
        <x:v>주술사</x:v>
      </x:c>
      <x:c r="D73" s="9" t="str">
        <x:v>U2_11000</x:v>
      </x:c>
      <x:c r="E73" s="9" t="str">
        <x:v>척후병</x:v>
      </x:c>
      <x:c r="F73" s="9" t="str">
        <x:v>U3_11101</x:v>
      </x:c>
      <x:c r="G73" s="9" t="str">
        <x:v>왕립전투현자</x:v>
      </x:c>
      <x:c r="H73" s="9" t="n">
        <x:v>3</x:v>
      </x:c>
      <x:c r="I73" s="9" t="str">
        <x:v>예</x:v>
      </x:c>
      <x:c r="J73" s="9" t="str">
        <x:v>기사×1 + 궁수×1 + 버퍼×1 + 마법사×1</x:v>
      </x:c>
    </x:row>
    <x:row r="74" ht="54" customHeight="1">
      <x:c r="A74" s="10" t="str">
        <x:v>R_U2_00101_U2_20000</x:v>
      </x:c>
      <x:c r="B74" s="10" t="str">
        <x:v>U2_00101</x:v>
      </x:c>
      <x:c r="C74" s="10" t="str">
        <x:v>주술사</x:v>
      </x:c>
      <x:c r="D74" s="10" t="str">
        <x:v>U2_20000</x:v>
      </x:c>
      <x:c r="E74" s="10" t="str">
        <x:v>중갑병</x:v>
      </x:c>
      <x:c r="F74" s="10" t="str">
        <x:v>U3_20101</x:v>
      </x:c>
      <x:c r="G74" s="10" t="str">
        <x:v>왕립마도기사</x:v>
      </x:c>
      <x:c r="H74" s="10" t="n">
        <x:v>3</x:v>
      </x:c>
      <x:c r="I74" s="10" t="str">
        <x:v>예</x:v>
      </x:c>
      <x:c r="J74" s="10" t="str">
        <x:v>기사×2 + 버퍼×1 + 마법사×1</x:v>
      </x:c>
    </x:row>
    <x:row r="75" ht="54" customHeight="1">
      <x:c r="A75" s="9" t="str">
        <x:v>R_U2_00110_U2_00110</x:v>
      </x:c>
      <x:c r="B75" s="9" t="str">
        <x:v>U2_00110</x:v>
      </x:c>
      <x:c r="C75" s="9" t="str">
        <x:v>사제</x:v>
      </x:c>
      <x:c r="D75" s="9" t="str">
        <x:v>U2_00110</x:v>
      </x:c>
      <x:c r="E75" s="9" t="str">
        <x:v>사제</x:v>
      </x:c>
      <x:c r="F75" s="9" t="str">
        <x:v>U3_00220</x:v>
      </x:c>
      <x:c r="G75" s="9" t="str">
        <x:v>축복사제</x:v>
      </x:c>
      <x:c r="H75" s="9" t="n">
        <x:v>3</x:v>
      </x:c>
      <x:c r="I75" s="9" t="str">
        <x:v>아니오</x:v>
      </x:c>
      <x:c r="J75" s="9" t="str">
        <x:v>버퍼×2 + 힐러×2</x:v>
      </x:c>
    </x:row>
    <x:row r="76" ht="54" customHeight="1">
      <x:c r="A76" s="10" t="str">
        <x:v>R_U2_00110_U2_00200</x:v>
      </x:c>
      <x:c r="B76" s="10" t="str">
        <x:v>U2_00110</x:v>
      </x:c>
      <x:c r="C76" s="10" t="str">
        <x:v>사제</x:v>
      </x:c>
      <x:c r="D76" s="10" t="str">
        <x:v>U2_00200</x:v>
      </x:c>
      <x:c r="E76" s="10" t="str">
        <x:v>기수</x:v>
      </x:c>
      <x:c r="F76" s="10" t="str">
        <x:v>U3_00310</x:v>
      </x:c>
      <x:c r="G76" s="10" t="str">
        <x:v>축복전도사</x:v>
      </x:c>
      <x:c r="H76" s="10" t="n">
        <x:v>3</x:v>
      </x:c>
      <x:c r="I76" s="10" t="str">
        <x:v>예</x:v>
      </x:c>
      <x:c r="J76" s="10" t="str">
        <x:v>버퍼×3 + 힐러×1</x:v>
      </x:c>
    </x:row>
    <x:row r="77" ht="54" customHeight="1">
      <x:c r="A77" s="9" t="str">
        <x:v>R_U2_00110_U2_01001</x:v>
      </x:c>
      <x:c r="B77" s="9" t="str">
        <x:v>U2_00110</x:v>
      </x:c>
      <x:c r="C77" s="9" t="str">
        <x:v>사제</x:v>
      </x:c>
      <x:c r="D77" s="9" t="str">
        <x:v>U2_01001</x:v>
      </x:c>
      <x:c r="E77" s="9" t="str">
        <x:v>마탄사수</x:v>
      </x:c>
      <x:c r="F77" s="9" t="str">
        <x:v>U3_01111</x:v>
      </x:c>
      <x:c r="G77" s="9" t="str">
        <x:v>세계수의 전령</x:v>
      </x:c>
      <x:c r="H77" s="9" t="n">
        <x:v>3</x:v>
      </x:c>
      <x:c r="I77" s="9" t="str">
        <x:v>아니오</x:v>
      </x:c>
      <x:c r="J77" s="9" t="str">
        <x:v>궁수×1 + 버퍼×1 + 힐러×1 + 마법사×1</x:v>
      </x:c>
    </x:row>
    <x:row r="78" ht="54" customHeight="1">
      <x:c r="A78" s="10" t="str">
        <x:v>R_U2_00110_U2_01010</x:v>
      </x:c>
      <x:c r="B78" s="10" t="str">
        <x:v>U2_00110</x:v>
      </x:c>
      <x:c r="C78" s="10" t="str">
        <x:v>사제</x:v>
      </x:c>
      <x:c r="D78" s="10" t="str">
        <x:v>U2_01010</x:v>
      </x:c>
      <x:c r="E78" s="10" t="str">
        <x:v>숲지기</x:v>
      </x:c>
      <x:c r="F78" s="10" t="str">
        <x:v>U3_01120</x:v>
      </x:c>
      <x:c r="G78" s="10" t="str">
        <x:v>봄의 전도사</x:v>
      </x:c>
      <x:c r="H78" s="10" t="n">
        <x:v>3</x:v>
      </x:c>
      <x:c r="I78" s="10" t="str">
        <x:v>아니오</x:v>
      </x:c>
      <x:c r="J78" s="10" t="str">
        <x:v>궁수×1 + 버퍼×1 + 힐러×2</x:v>
      </x:c>
    </x:row>
    <x:row r="79" ht="54" customHeight="1">
      <x:c r="A79" s="9" t="str">
        <x:v>R_U2_00110_U2_01100</x:v>
      </x:c>
      <x:c r="B79" s="9" t="str">
        <x:v>U2_00110</x:v>
      </x:c>
      <x:c r="C79" s="9" t="str">
        <x:v>사제</x:v>
      </x:c>
      <x:c r="D79" s="9" t="str">
        <x:v>U2_01100</x:v>
      </x:c>
      <x:c r="E79" s="9" t="str">
        <x:v>군악궁수</x:v>
      </x:c>
      <x:c r="F79" s="9" t="str">
        <x:v>U3_01210</x:v>
      </x:c>
      <x:c r="G79" s="9" t="str">
        <x:v>숲의 악장</x:v>
      </x:c>
      <x:c r="H79" s="9" t="n">
        <x:v>3</x:v>
      </x:c>
      <x:c r="I79" s="9" t="str">
        <x:v>예</x:v>
      </x:c>
      <x:c r="J79" s="9" t="str">
        <x:v>궁수×1 + 버퍼×2 + 힐러×1</x:v>
      </x:c>
    </x:row>
    <x:row r="80" ht="54" customHeight="1">
      <x:c r="A80" s="10" t="str">
        <x:v>R_U2_00110_U2_02000</x:v>
      </x:c>
      <x:c r="B80" s="10" t="str">
        <x:v>U2_00110</x:v>
      </x:c>
      <x:c r="C80" s="10" t="str">
        <x:v>사제</x:v>
      </x:c>
      <x:c r="D80" s="10" t="str">
        <x:v>U2_02000</x:v>
      </x:c>
      <x:c r="E80" s="10" t="str">
        <x:v>명사수</x:v>
      </x:c>
      <x:c r="F80" s="10" t="str">
        <x:v>U3_02110</x:v>
      </x:c>
      <x:c r="G80" s="10" t="str">
        <x:v>성가궁수</x:v>
      </x:c>
      <x:c r="H80" s="10" t="n">
        <x:v>3</x:v>
      </x:c>
      <x:c r="I80" s="10" t="str">
        <x:v>예</x:v>
      </x:c>
      <x:c r="J80" s="10" t="str">
        <x:v>궁수×2 + 버퍼×1 + 힐러×1</x:v>
      </x:c>
    </x:row>
    <x:row r="81" ht="54" customHeight="1">
      <x:c r="A81" s="9" t="str">
        <x:v>R_U2_00110_U2_10001</x:v>
      </x:c>
      <x:c r="B81" s="9" t="str">
        <x:v>U2_00110</x:v>
      </x:c>
      <x:c r="C81" s="9" t="str">
        <x:v>사제</x:v>
      </x:c>
      <x:c r="D81" s="9" t="str">
        <x:v>U2_10001</x:v>
      </x:c>
      <x:c r="E81" s="9" t="str">
        <x:v>마검사</x:v>
      </x:c>
      <x:c r="F81" s="9" t="str">
        <x:v>U3_10111</x:v>
      </x:c>
      <x:c r="G81" s="9" t="str">
        <x:v>황혼수호사제</x:v>
      </x:c>
      <x:c r="H81" s="9" t="n">
        <x:v>3</x:v>
      </x:c>
      <x:c r="I81" s="9" t="str">
        <x:v>아니오</x:v>
      </x:c>
      <x:c r="J81" s="9" t="str">
        <x:v>기사×1 + 버퍼×1 + 힐러×1 + 마법사×1</x:v>
      </x:c>
    </x:row>
    <x:row r="82" ht="54" customHeight="1">
      <x:c r="A82" s="10" t="str">
        <x:v>R_U2_00110_U2_10010</x:v>
      </x:c>
      <x:c r="B82" s="10" t="str">
        <x:v>U2_00110</x:v>
      </x:c>
      <x:c r="C82" s="10" t="str">
        <x:v>사제</x:v>
      </x:c>
      <x:c r="D82" s="10" t="str">
        <x:v>U2_10010</x:v>
      </x:c>
      <x:c r="E82" s="10" t="str">
        <x:v>성기사</x:v>
      </x:c>
      <x:c r="F82" s="10" t="str">
        <x:v>U3_10120</x:v>
      </x:c>
      <x:c r="G82" s="10" t="str">
        <x:v>성당수호자</x:v>
      </x:c>
      <x:c r="H82" s="10" t="n">
        <x:v>3</x:v>
      </x:c>
      <x:c r="I82" s="10" t="str">
        <x:v>아니오</x:v>
      </x:c>
      <x:c r="J82" s="10" t="str">
        <x:v>기사×1 + 버퍼×1 + 힐러×2</x:v>
      </x:c>
    </x:row>
    <x:row r="83" ht="54" customHeight="1">
      <x:c r="A83" s="9" t="str">
        <x:v>R_U2_00110_U2_10100</x:v>
      </x:c>
      <x:c r="B83" s="9" t="str">
        <x:v>U2_00110</x:v>
      </x:c>
      <x:c r="C83" s="9" t="str">
        <x:v>사제</x:v>
      </x:c>
      <x:c r="D83" s="9" t="str">
        <x:v>U2_10100</x:v>
      </x:c>
      <x:c r="E83" s="9" t="str">
        <x:v>지휘관</x:v>
      </x:c>
      <x:c r="F83" s="9" t="str">
        <x:v>U3_10210</x:v>
      </x:c>
      <x:c r="G83" s="9" t="str">
        <x:v>궁정수호사제</x:v>
      </x:c>
      <x:c r="H83" s="9" t="n">
        <x:v>3</x:v>
      </x:c>
      <x:c r="I83" s="9" t="str">
        <x:v>예</x:v>
      </x:c>
      <x:c r="J83" s="9" t="str">
        <x:v>기사×1 + 버퍼×2 + 힐러×1</x:v>
      </x:c>
    </x:row>
    <x:row r="84" ht="54" customHeight="1">
      <x:c r="A84" s="10" t="str">
        <x:v>R_U2_00110_U2_11000</x:v>
      </x:c>
      <x:c r="B84" s="10" t="str">
        <x:v>U2_00110</x:v>
      </x:c>
      <x:c r="C84" s="10" t="str">
        <x:v>사제</x:v>
      </x:c>
      <x:c r="D84" s="10" t="str">
        <x:v>U2_11000</x:v>
      </x:c>
      <x:c r="E84" s="10" t="str">
        <x:v>척후병</x:v>
      </x:c>
      <x:c r="F84" s="10" t="str">
        <x:v>U3_11110</x:v>
      </x:c>
      <x:c r="G84" s="10" t="str">
        <x:v>왕실성전대장</x:v>
      </x:c>
      <x:c r="H84" s="10" t="n">
        <x:v>3</x:v>
      </x:c>
      <x:c r="I84" s="10" t="str">
        <x:v>예</x:v>
      </x:c>
      <x:c r="J84" s="10" t="str">
        <x:v>기사×1 + 궁수×1 + 버퍼×1 + 힐러×1</x:v>
      </x:c>
    </x:row>
    <x:row r="85" ht="54" customHeight="1">
      <x:c r="A85" s="9" t="str">
        <x:v>R_U2_00110_U2_20000</x:v>
      </x:c>
      <x:c r="B85" s="9" t="str">
        <x:v>U2_00110</x:v>
      </x:c>
      <x:c r="C85" s="9" t="str">
        <x:v>사제</x:v>
      </x:c>
      <x:c r="D85" s="9" t="str">
        <x:v>U2_20000</x:v>
      </x:c>
      <x:c r="E85" s="9" t="str">
        <x:v>중갑병</x:v>
      </x:c>
      <x:c r="F85" s="9" t="str">
        <x:v>U3_20110</x:v>
      </x:c>
      <x:c r="G85" s="9" t="str">
        <x:v>왕실구호대장</x:v>
      </x:c>
      <x:c r="H85" s="9" t="n">
        <x:v>3</x:v>
      </x:c>
      <x:c r="I85" s="9" t="str">
        <x:v>예</x:v>
      </x:c>
      <x:c r="J85" s="9" t="str">
        <x:v>기사×2 + 버퍼×1 + 힐러×1</x:v>
      </x:c>
    </x:row>
    <x:row r="86" ht="54" customHeight="1">
      <x:c r="A86" s="10" t="str">
        <x:v>R_U2_00200_U2_00200</x:v>
      </x:c>
      <x:c r="B86" s="10" t="str">
        <x:v>U2_00200</x:v>
      </x:c>
      <x:c r="C86" s="10" t="str">
        <x:v>기수</x:v>
      </x:c>
      <x:c r="D86" s="10" t="str">
        <x:v>U2_00200</x:v>
      </x:c>
      <x:c r="E86" s="10" t="str">
        <x:v>기수</x:v>
      </x:c>
      <x:c r="F86" s="10" t="str">
        <x:v>U3_00400</x:v>
      </x:c>
      <x:c r="G86" s="10" t="str">
        <x:v>왕실기수</x:v>
      </x:c>
      <x:c r="H86" s="10" t="n">
        <x:v>3</x:v>
      </x:c>
      <x:c r="I86" s="10" t="str">
        <x:v>예</x:v>
      </x:c>
      <x:c r="J86" s="10" t="str">
        <x:v>버퍼×4</x:v>
      </x:c>
    </x:row>
    <x:row r="87" ht="54" customHeight="1">
      <x:c r="A87" s="9" t="str">
        <x:v>R_U2_00200_U2_01001</x:v>
      </x:c>
      <x:c r="B87" s="9" t="str">
        <x:v>U2_00200</x:v>
      </x:c>
      <x:c r="C87" s="9" t="str">
        <x:v>기수</x:v>
      </x:c>
      <x:c r="D87" s="9" t="str">
        <x:v>U2_01001</x:v>
      </x:c>
      <x:c r="E87" s="9" t="str">
        <x:v>마탄사수</x:v>
      </x:c>
      <x:c r="F87" s="9" t="str">
        <x:v>U3_01201</x:v>
      </x:c>
      <x:c r="G87" s="9" t="str">
        <x:v>별빛지휘관</x:v>
      </x:c>
      <x:c r="H87" s="9" t="n">
        <x:v>3</x:v>
      </x:c>
      <x:c r="I87" s="9" t="str">
        <x:v>아니오</x:v>
      </x:c>
      <x:c r="J87" s="9" t="str">
        <x:v>궁수×1 + 버퍼×2 + 마법사×1</x:v>
      </x:c>
    </x:row>
    <x:row r="88" ht="54" customHeight="1">
      <x:c r="A88" s="10" t="str">
        <x:v>R_U2_00200_U2_01010</x:v>
      </x:c>
      <x:c r="B88" s="10" t="str">
        <x:v>U2_00200</x:v>
      </x:c>
      <x:c r="C88" s="10" t="str">
        <x:v>기수</x:v>
      </x:c>
      <x:c r="D88" s="10" t="str">
        <x:v>U2_01010</x:v>
      </x:c>
      <x:c r="E88" s="10" t="str">
        <x:v>숲지기</x:v>
      </x:c>
      <x:c r="F88" s="10" t="str">
        <x:v>U3_01210</x:v>
      </x:c>
      <x:c r="G88" s="10" t="str">
        <x:v>숲의 악장</x:v>
      </x:c>
      <x:c r="H88" s="10" t="n">
        <x:v>3</x:v>
      </x:c>
      <x:c r="I88" s="10" t="str">
        <x:v>아니오</x:v>
      </x:c>
      <x:c r="J88" s="10" t="str">
        <x:v>궁수×1 + 버퍼×2 + 힐러×1</x:v>
      </x:c>
    </x:row>
    <x:row r="89" ht="54" customHeight="1">
      <x:c r="A89" s="9" t="str">
        <x:v>R_U2_00200_U2_01100</x:v>
      </x:c>
      <x:c r="B89" s="9" t="str">
        <x:v>U2_00200</x:v>
      </x:c>
      <x:c r="C89" s="9" t="str">
        <x:v>기수</x:v>
      </x:c>
      <x:c r="D89" s="9" t="str">
        <x:v>U2_01100</x:v>
      </x:c>
      <x:c r="E89" s="9" t="str">
        <x:v>군악궁수</x:v>
      </x:c>
      <x:c r="F89" s="9" t="str">
        <x:v>U3_01300</x:v>
      </x:c>
      <x:c r="G89" s="9" t="str">
        <x:v>왕실악장</x:v>
      </x:c>
      <x:c r="H89" s="9" t="n">
        <x:v>3</x:v>
      </x:c>
      <x:c r="I89" s="9" t="str">
        <x:v>예</x:v>
      </x:c>
      <x:c r="J89" s="9" t="str">
        <x:v>궁수×1 + 버퍼×3</x:v>
      </x:c>
    </x:row>
    <x:row r="90" ht="54" customHeight="1">
      <x:c r="A90" s="10" t="str">
        <x:v>R_U2_00200_U2_02000</x:v>
      </x:c>
      <x:c r="B90" s="10" t="str">
        <x:v>U2_00200</x:v>
      </x:c>
      <x:c r="C90" s="10" t="str">
        <x:v>기수</x:v>
      </x:c>
      <x:c r="D90" s="10" t="str">
        <x:v>U2_02000</x:v>
      </x:c>
      <x:c r="E90" s="10" t="str">
        <x:v>명사수</x:v>
      </x:c>
      <x:c r="F90" s="10" t="str">
        <x:v>U3_02200</x:v>
      </x:c>
      <x:c r="G90" s="10" t="str">
        <x:v>포격지휘관</x:v>
      </x:c>
      <x:c r="H90" s="10" t="n">
        <x:v>3</x:v>
      </x:c>
      <x:c r="I90" s="10" t="str">
        <x:v>예</x:v>
      </x:c>
      <x:c r="J90" s="10" t="str">
        <x:v>궁수×2 + 버퍼×2</x:v>
      </x:c>
    </x:row>
    <x:row r="91" ht="54" customHeight="1">
      <x:c r="A91" s="9" t="str">
        <x:v>R_U2_00200_U2_10001</x:v>
      </x:c>
      <x:c r="B91" s="9" t="str">
        <x:v>U2_00200</x:v>
      </x:c>
      <x:c r="C91" s="9" t="str">
        <x:v>기수</x:v>
      </x:c>
      <x:c r="D91" s="9" t="str">
        <x:v>U2_10001</x:v>
      </x:c>
      <x:c r="E91" s="9" t="str">
        <x:v>마검사</x:v>
      </x:c>
      <x:c r="F91" s="9" t="str">
        <x:v>U3_10201</x:v>
      </x:c>
      <x:c r="G91" s="9" t="str">
        <x:v>전쟁룬술사</x:v>
      </x:c>
      <x:c r="H91" s="9" t="n">
        <x:v>3</x:v>
      </x:c>
      <x:c r="I91" s="9" t="str">
        <x:v>아니오</x:v>
      </x:c>
      <x:c r="J91" s="9" t="str">
        <x:v>기사×1 + 버퍼×2 + 마법사×1</x:v>
      </x:c>
    </x:row>
    <x:row r="92" ht="54" customHeight="1">
      <x:c r="A92" s="10" t="str">
        <x:v>R_U2_00200_U2_10010</x:v>
      </x:c>
      <x:c r="B92" s="10" t="str">
        <x:v>U2_00200</x:v>
      </x:c>
      <x:c r="C92" s="10" t="str">
        <x:v>기수</x:v>
      </x:c>
      <x:c r="D92" s="10" t="str">
        <x:v>U2_10010</x:v>
      </x:c>
      <x:c r="E92" s="10" t="str">
        <x:v>성기사</x:v>
      </x:c>
      <x:c r="F92" s="10" t="str">
        <x:v>U3_10210</x:v>
      </x:c>
      <x:c r="G92" s="10" t="str">
        <x:v>궁정수호사제</x:v>
      </x:c>
      <x:c r="H92" s="10" t="n">
        <x:v>3</x:v>
      </x:c>
      <x:c r="I92" s="10" t="str">
        <x:v>아니오</x:v>
      </x:c>
      <x:c r="J92" s="10" t="str">
        <x:v>기사×1 + 버퍼×2 + 힐러×1</x:v>
      </x:c>
    </x:row>
    <x:row r="93" ht="54" customHeight="1">
      <x:c r="A93" s="9" t="str">
        <x:v>R_U2_00200_U2_10100</x:v>
      </x:c>
      <x:c r="B93" s="9" t="str">
        <x:v>U2_00200</x:v>
      </x:c>
      <x:c r="C93" s="9" t="str">
        <x:v>기수</x:v>
      </x:c>
      <x:c r="D93" s="9" t="str">
        <x:v>U2_10100</x:v>
      </x:c>
      <x:c r="E93" s="9" t="str">
        <x:v>지휘관</x:v>
      </x:c>
      <x:c r="F93" s="9" t="str">
        <x:v>U3_10300</x:v>
      </x:c>
      <x:c r="G93" s="9" t="str">
        <x:v>군단원수</x:v>
      </x:c>
      <x:c r="H93" s="9" t="n">
        <x:v>3</x:v>
      </x:c>
      <x:c r="I93" s="9" t="str">
        <x:v>예</x:v>
      </x:c>
      <x:c r="J93" s="9" t="str">
        <x:v>기사×1 + 버퍼×3</x:v>
      </x:c>
    </x:row>
    <x:row r="94" ht="54" customHeight="1">
      <x:c r="A94" s="10" t="str">
        <x:v>R_U2_00200_U2_11000</x:v>
      </x:c>
      <x:c r="B94" s="10" t="str">
        <x:v>U2_00200</x:v>
      </x:c>
      <x:c r="C94" s="10" t="str">
        <x:v>기수</x:v>
      </x:c>
      <x:c r="D94" s="10" t="str">
        <x:v>U2_11000</x:v>
      </x:c>
      <x:c r="E94" s="10" t="str">
        <x:v>척후병</x:v>
      </x:c>
      <x:c r="F94" s="10" t="str">
        <x:v>U3_11200</x:v>
      </x:c>
      <x:c r="G94" s="10" t="str">
        <x:v>왕실전술가</x:v>
      </x:c>
      <x:c r="H94" s="10" t="n">
        <x:v>3</x:v>
      </x:c>
      <x:c r="I94" s="10" t="str">
        <x:v>예</x:v>
      </x:c>
      <x:c r="J94" s="10" t="str">
        <x:v>기사×1 + 궁수×1 + 버퍼×2</x:v>
      </x:c>
    </x:row>
    <x:row r="95" ht="54" customHeight="1">
      <x:c r="A95" s="9" t="str">
        <x:v>R_U2_00200_U2_20000</x:v>
      </x:c>
      <x:c r="B95" s="9" t="str">
        <x:v>U2_00200</x:v>
      </x:c>
      <x:c r="C95" s="9" t="str">
        <x:v>기수</x:v>
      </x:c>
      <x:c r="D95" s="9" t="str">
        <x:v>U2_20000</x:v>
      </x:c>
      <x:c r="E95" s="9" t="str">
        <x:v>중갑병</x:v>
      </x:c>
      <x:c r="F95" s="9" t="str">
        <x:v>U3_20200</x:v>
      </x:c>
      <x:c r="G95" s="9" t="str">
        <x:v>전장의 원수</x:v>
      </x:c>
      <x:c r="H95" s="9" t="n">
        <x:v>3</x:v>
      </x:c>
      <x:c r="I95" s="9" t="str">
        <x:v>예</x:v>
      </x:c>
      <x:c r="J95" s="9" t="str">
        <x:v>기사×2 + 버퍼×2</x:v>
      </x:c>
    </x:row>
    <x:row r="96" ht="54" customHeight="1">
      <x:c r="A96" s="10" t="str">
        <x:v>R_U2_01001_U2_01001</x:v>
      </x:c>
      <x:c r="B96" s="10" t="str">
        <x:v>U2_01001</x:v>
      </x:c>
      <x:c r="C96" s="10" t="str">
        <x:v>마탄사수</x:v>
      </x:c>
      <x:c r="D96" s="10" t="str">
        <x:v>U2_01001</x:v>
      </x:c>
      <x:c r="E96" s="10" t="str">
        <x:v>마탄사수</x:v>
      </x:c>
      <x:c r="F96" s="10" t="str">
        <x:v>U3_02002</x:v>
      </x:c>
      <x:c r="G96" s="10" t="str">
        <x:v>마도저격수</x:v>
      </x:c>
      <x:c r="H96" s="10" t="n">
        <x:v>3</x:v>
      </x:c>
      <x:c r="I96" s="10" t="str">
        <x:v>아니오</x:v>
      </x:c>
      <x:c r="J96" s="10" t="str">
        <x:v>궁수×2 + 마법사×2</x:v>
      </x:c>
    </x:row>
    <x:row r="97" ht="54" customHeight="1">
      <x:c r="A97" s="9" t="str">
        <x:v>R_U2_01001_U2_01010</x:v>
      </x:c>
      <x:c r="B97" s="9" t="str">
        <x:v>U2_01001</x:v>
      </x:c>
      <x:c r="C97" s="9" t="str">
        <x:v>마탄사수</x:v>
      </x:c>
      <x:c r="D97" s="9" t="str">
        <x:v>U2_01010</x:v>
      </x:c>
      <x:c r="E97" s="9" t="str">
        <x:v>숲지기</x:v>
      </x:c>
      <x:c r="F97" s="9" t="str">
        <x:v>U3_02011</x:v>
      </x:c>
      <x:c r="G97" s="9" t="str">
        <x:v>겨울숲 사냥꾼</x:v>
      </x:c>
      <x:c r="H97" s="9" t="n">
        <x:v>3</x:v>
      </x:c>
      <x:c r="I97" s="9" t="str">
        <x:v>아니오</x:v>
      </x:c>
      <x:c r="J97" s="9" t="str">
        <x:v>궁수×2 + 힐러×1 + 마법사×1</x:v>
      </x:c>
    </x:row>
    <x:row r="98" ht="54" customHeight="1">
      <x:c r="A98" s="10" t="str">
        <x:v>R_U2_01001_U2_01100</x:v>
      </x:c>
      <x:c r="B98" s="10" t="str">
        <x:v>U2_01001</x:v>
      </x:c>
      <x:c r="C98" s="10" t="str">
        <x:v>마탄사수</x:v>
      </x:c>
      <x:c r="D98" s="10" t="str">
        <x:v>U2_01100</x:v>
      </x:c>
      <x:c r="E98" s="10" t="str">
        <x:v>군악궁수</x:v>
      </x:c>
      <x:c r="F98" s="10" t="str">
        <x:v>U3_02101</x:v>
      </x:c>
      <x:c r="G98" s="10" t="str">
        <x:v>룬연사수</x:v>
      </x:c>
      <x:c r="H98" s="10" t="n">
        <x:v>3</x:v>
      </x:c>
      <x:c r="I98" s="10" t="str">
        <x:v>아니오</x:v>
      </x:c>
      <x:c r="J98" s="10" t="str">
        <x:v>궁수×2 + 버퍼×1 + 마법사×1</x:v>
      </x:c>
    </x:row>
    <x:row r="99" ht="54" customHeight="1">
      <x:c r="A99" s="9" t="str">
        <x:v>R_U2_01001_U2_02000</x:v>
      </x:c>
      <x:c r="B99" s="9" t="str">
        <x:v>U2_01001</x:v>
      </x:c>
      <x:c r="C99" s="9" t="str">
        <x:v>마탄사수</x:v>
      </x:c>
      <x:c r="D99" s="9" t="str">
        <x:v>U2_02000</x:v>
      </x:c>
      <x:c r="E99" s="9" t="str">
        <x:v>명사수</x:v>
      </x:c>
      <x:c r="F99" s="9" t="str">
        <x:v>U3_03001</x:v>
      </x:c>
      <x:c r="G99" s="9" t="str">
        <x:v>혜성궁수</x:v>
      </x:c>
      <x:c r="H99" s="9" t="n">
        <x:v>3</x:v>
      </x:c>
      <x:c r="I99" s="9" t="str">
        <x:v>예</x:v>
      </x:c>
      <x:c r="J99" s="9" t="str">
        <x:v>궁수×3 + 마법사×1</x:v>
      </x:c>
    </x:row>
    <x:row r="100" ht="54" customHeight="1">
      <x:c r="A100" s="10" t="str">
        <x:v>R_U2_01001_U2_10001</x:v>
      </x:c>
      <x:c r="B100" s="10" t="str">
        <x:v>U2_01001</x:v>
      </x:c>
      <x:c r="C100" s="10" t="str">
        <x:v>마탄사수</x:v>
      </x:c>
      <x:c r="D100" s="10" t="str">
        <x:v>U2_10001</x:v>
      </x:c>
      <x:c r="E100" s="10" t="str">
        <x:v>마검사</x:v>
      </x:c>
      <x:c r="F100" s="10" t="str">
        <x:v>U3_11002</x:v>
      </x:c>
      <x:c r="G100" s="10" t="str">
        <x:v>룬포격기사</x:v>
      </x:c>
      <x:c r="H100" s="10" t="n">
        <x:v>3</x:v>
      </x:c>
      <x:c r="I100" s="10" t="str">
        <x:v>아니오</x:v>
      </x:c>
      <x:c r="J100" s="10" t="str">
        <x:v>기사×1 + 궁수×1 + 마법사×2</x:v>
      </x:c>
    </x:row>
    <x:row r="101" ht="54" customHeight="1">
      <x:c r="A101" s="9" t="str">
        <x:v>R_U2_01001_U2_10010</x:v>
      </x:c>
      <x:c r="B101" s="9" t="str">
        <x:v>U2_01001</x:v>
      </x:c>
      <x:c r="C101" s="9" t="str">
        <x:v>마탄사수</x:v>
      </x:c>
      <x:c r="D101" s="9" t="str">
        <x:v>U2_10010</x:v>
      </x:c>
      <x:c r="E101" s="9" t="str">
        <x:v>성기사</x:v>
      </x:c>
      <x:c r="F101" s="9" t="str">
        <x:v>U3_11011</x:v>
      </x:c>
      <x:c r="G101" s="9" t="str">
        <x:v>심판자</x:v>
      </x:c>
      <x:c r="H101" s="9" t="n">
        <x:v>3</x:v>
      </x:c>
      <x:c r="I101" s="9" t="str">
        <x:v>아니오</x:v>
      </x:c>
      <x:c r="J101" s="9" t="str">
        <x:v>기사×1 + 궁수×1 + 힐러×1 + 마법사×1</x:v>
      </x:c>
    </x:row>
    <x:row r="102" ht="54" customHeight="1">
      <x:c r="A102" s="10" t="str">
        <x:v>R_U2_01001_U2_10100</x:v>
      </x:c>
      <x:c r="B102" s="10" t="str">
        <x:v>U2_01001</x:v>
      </x:c>
      <x:c r="C102" s="10" t="str">
        <x:v>마탄사수</x:v>
      </x:c>
      <x:c r="D102" s="10" t="str">
        <x:v>U2_10100</x:v>
      </x:c>
      <x:c r="E102" s="10" t="str">
        <x:v>지휘관</x:v>
      </x:c>
      <x:c r="F102" s="10" t="str">
        <x:v>U3_11101</x:v>
      </x:c>
      <x:c r="G102" s="10" t="str">
        <x:v>왕립전투현자</x:v>
      </x:c>
      <x:c r="H102" s="10" t="n">
        <x:v>3</x:v>
      </x:c>
      <x:c r="I102" s="10" t="str">
        <x:v>아니오</x:v>
      </x:c>
      <x:c r="J102" s="10" t="str">
        <x:v>기사×1 + 궁수×1 + 버퍼×1 + 마법사×1</x:v>
      </x:c>
    </x:row>
    <x:row r="103" ht="54" customHeight="1">
      <x:c r="A103" s="9" t="str">
        <x:v>R_U2_01001_U2_11000</x:v>
      </x:c>
      <x:c r="B103" s="9" t="str">
        <x:v>U2_01001</x:v>
      </x:c>
      <x:c r="C103" s="9" t="str">
        <x:v>마탄사수</x:v>
      </x:c>
      <x:c r="D103" s="9" t="str">
        <x:v>U2_11000</x:v>
      </x:c>
      <x:c r="E103" s="9" t="str">
        <x:v>척후병</x:v>
      </x:c>
      <x:c r="F103" s="9" t="str">
        <x:v>U3_12001</x:v>
      </x:c>
      <x:c r="G103" s="9" t="str">
        <x:v>빙결노포병</x:v>
      </x:c>
      <x:c r="H103" s="9" t="n">
        <x:v>3</x:v>
      </x:c>
      <x:c r="I103" s="9" t="str">
        <x:v>예</x:v>
      </x:c>
      <x:c r="J103" s="9" t="str">
        <x:v>기사×1 + 궁수×2 + 마법사×1</x:v>
      </x:c>
    </x:row>
    <x:row r="104" ht="54" customHeight="1">
      <x:c r="A104" s="10" t="str">
        <x:v>R_U2_01001_U2_20000</x:v>
      </x:c>
      <x:c r="B104" s="10" t="str">
        <x:v>U2_01001</x:v>
      </x:c>
      <x:c r="C104" s="10" t="str">
        <x:v>마탄사수</x:v>
      </x:c>
      <x:c r="D104" s="10" t="str">
        <x:v>U2_20000</x:v>
      </x:c>
      <x:c r="E104" s="10" t="str">
        <x:v>중갑병</x:v>
      </x:c>
      <x:c r="F104" s="10" t="str">
        <x:v>U3_21001</x:v>
      </x:c>
      <x:c r="G104" s="10" t="str">
        <x:v>천둥창기사</x:v>
      </x:c>
      <x:c r="H104" s="10" t="n">
        <x:v>3</x:v>
      </x:c>
      <x:c r="I104" s="10" t="str">
        <x:v>예</x:v>
      </x:c>
      <x:c r="J104" s="10" t="str">
        <x:v>기사×2 + 궁수×1 + 마법사×1</x:v>
      </x:c>
    </x:row>
    <x:row r="105" ht="54" customHeight="1">
      <x:c r="A105" s="9" t="str">
        <x:v>R_U2_01010_U2_01010</x:v>
      </x:c>
      <x:c r="B105" s="9" t="str">
        <x:v>U2_01010</x:v>
      </x:c>
      <x:c r="C105" s="9" t="str">
        <x:v>숲지기</x:v>
      </x:c>
      <x:c r="D105" s="9" t="str">
        <x:v>U2_01010</x:v>
      </x:c>
      <x:c r="E105" s="9" t="str">
        <x:v>숲지기</x:v>
      </x:c>
      <x:c r="F105" s="9" t="str">
        <x:v>U3_02020</x:v>
      </x:c>
      <x:c r="G105" s="9" t="str">
        <x:v>생명궁성</x:v>
      </x:c>
      <x:c r="H105" s="9" t="n">
        <x:v>3</x:v>
      </x:c>
      <x:c r="I105" s="9" t="str">
        <x:v>아니오</x:v>
      </x:c>
      <x:c r="J105" s="9" t="str">
        <x:v>궁수×2 + 힐러×2</x:v>
      </x:c>
    </x:row>
    <x:row r="106" ht="54" customHeight="1">
      <x:c r="A106" s="10" t="str">
        <x:v>R_U2_01010_U2_01100</x:v>
      </x:c>
      <x:c r="B106" s="10" t="str">
        <x:v>U2_01010</x:v>
      </x:c>
      <x:c r="C106" s="10" t="str">
        <x:v>숲지기</x:v>
      </x:c>
      <x:c r="D106" s="10" t="str">
        <x:v>U2_01100</x:v>
      </x:c>
      <x:c r="E106" s="10" t="str">
        <x:v>군악궁수</x:v>
      </x:c>
      <x:c r="F106" s="10" t="str">
        <x:v>U3_02110</x:v>
      </x:c>
      <x:c r="G106" s="10" t="str">
        <x:v>성가궁수</x:v>
      </x:c>
      <x:c r="H106" s="10" t="n">
        <x:v>3</x:v>
      </x:c>
      <x:c r="I106" s="10" t="str">
        <x:v>아니오</x:v>
      </x:c>
      <x:c r="J106" s="10" t="str">
        <x:v>궁수×2 + 버퍼×1 + 힐러×1</x:v>
      </x:c>
    </x:row>
    <x:row r="107" ht="54" customHeight="1">
      <x:c r="A107" s="9" t="str">
        <x:v>R_U2_01010_U2_02000</x:v>
      </x:c>
      <x:c r="B107" s="9" t="str">
        <x:v>U2_01010</x:v>
      </x:c>
      <x:c r="C107" s="9" t="str">
        <x:v>숲지기</x:v>
      </x:c>
      <x:c r="D107" s="9" t="str">
        <x:v>U2_02000</x:v>
      </x:c>
      <x:c r="E107" s="9" t="str">
        <x:v>명사수</x:v>
      </x:c>
      <x:c r="F107" s="9" t="str">
        <x:v>U3_03010</x:v>
      </x:c>
      <x:c r="G107" s="9" t="str">
        <x:v>생명추적자</x:v>
      </x:c>
      <x:c r="H107" s="9" t="n">
        <x:v>3</x:v>
      </x:c>
      <x:c r="I107" s="9" t="str">
        <x:v>예</x:v>
      </x:c>
      <x:c r="J107" s="9" t="str">
        <x:v>궁수×3 + 힐러×1</x:v>
      </x:c>
    </x:row>
    <x:row r="108" ht="54" customHeight="1">
      <x:c r="A108" s="10" t="str">
        <x:v>R_U2_01010_U2_10001</x:v>
      </x:c>
      <x:c r="B108" s="10" t="str">
        <x:v>U2_01010</x:v>
      </x:c>
      <x:c r="C108" s="10" t="str">
        <x:v>숲지기</x:v>
      </x:c>
      <x:c r="D108" s="10" t="str">
        <x:v>U2_10001</x:v>
      </x:c>
      <x:c r="E108" s="10" t="str">
        <x:v>마검사</x:v>
      </x:c>
      <x:c r="F108" s="10" t="str">
        <x:v>U3_11011</x:v>
      </x:c>
      <x:c r="G108" s="10" t="str">
        <x:v>심판자</x:v>
      </x:c>
      <x:c r="H108" s="10" t="n">
        <x:v>3</x:v>
      </x:c>
      <x:c r="I108" s="10" t="str">
        <x:v>아니오</x:v>
      </x:c>
      <x:c r="J108" s="10" t="str">
        <x:v>기사×1 + 궁수×1 + 힐러×1 + 마법사×1</x:v>
      </x:c>
    </x:row>
    <x:row r="109" ht="54" customHeight="1">
      <x:c r="A109" s="9" t="str">
        <x:v>R_U2_01010_U2_10010</x:v>
      </x:c>
      <x:c r="B109" s="9" t="str">
        <x:v>U2_01010</x:v>
      </x:c>
      <x:c r="C109" s="9" t="str">
        <x:v>숲지기</x:v>
      </x:c>
      <x:c r="D109" s="9" t="str">
        <x:v>U2_10010</x:v>
      </x:c>
      <x:c r="E109" s="9" t="str">
        <x:v>성기사</x:v>
      </x:c>
      <x:c r="F109" s="9" t="str">
        <x:v>U3_11020</x:v>
      </x:c>
      <x:c r="G109" s="9" t="str">
        <x:v>생명의 감시자</x:v>
      </x:c>
      <x:c r="H109" s="9" t="n">
        <x:v>3</x:v>
      </x:c>
      <x:c r="I109" s="9" t="str">
        <x:v>아니오</x:v>
      </x:c>
      <x:c r="J109" s="9" t="str">
        <x:v>기사×1 + 궁수×1 + 힐러×2</x:v>
      </x:c>
    </x:row>
    <x:row r="110" ht="54" customHeight="1">
      <x:c r="A110" s="10" t="str">
        <x:v>R_U2_01010_U2_10100</x:v>
      </x:c>
      <x:c r="B110" s="10" t="str">
        <x:v>U2_01010</x:v>
      </x:c>
      <x:c r="C110" s="10" t="str">
        <x:v>숲지기</x:v>
      </x:c>
      <x:c r="D110" s="10" t="str">
        <x:v>U2_10100</x:v>
      </x:c>
      <x:c r="E110" s="10" t="str">
        <x:v>지휘관</x:v>
      </x:c>
      <x:c r="F110" s="10" t="str">
        <x:v>U3_11110</x:v>
      </x:c>
      <x:c r="G110" s="10" t="str">
        <x:v>왕실성전대장</x:v>
      </x:c>
      <x:c r="H110" s="10" t="n">
        <x:v>3</x:v>
      </x:c>
      <x:c r="I110" s="10" t="str">
        <x:v>아니오</x:v>
      </x:c>
      <x:c r="J110" s="10" t="str">
        <x:v>기사×1 + 궁수×1 + 버퍼×1 + 힐러×1</x:v>
      </x:c>
    </x:row>
    <x:row r="111" ht="54" customHeight="1">
      <x:c r="A111" s="9" t="str">
        <x:v>R_U2_01010_U2_11000</x:v>
      </x:c>
      <x:c r="B111" s="9" t="str">
        <x:v>U2_01010</x:v>
      </x:c>
      <x:c r="C111" s="9" t="str">
        <x:v>숲지기</x:v>
      </x:c>
      <x:c r="D111" s="9" t="str">
        <x:v>U2_11000</x:v>
      </x:c>
      <x:c r="E111" s="9" t="str">
        <x:v>척후병</x:v>
      </x:c>
      <x:c r="F111" s="9" t="str">
        <x:v>U3_12010</x:v>
      </x:c>
      <x:c r="G111" s="9" t="str">
        <x:v>숲의 파수꾼</x:v>
      </x:c>
      <x:c r="H111" s="9" t="n">
        <x:v>3</x:v>
      </x:c>
      <x:c r="I111" s="9" t="str">
        <x:v>예</x:v>
      </x:c>
      <x:c r="J111" s="9" t="str">
        <x:v>기사×1 + 궁수×2 + 힐러×1</x:v>
      </x:c>
    </x:row>
    <x:row r="112" ht="54" customHeight="1">
      <x:c r="A112" s="10" t="str">
        <x:v>R_U2_01010_U2_20000</x:v>
      </x:c>
      <x:c r="B112" s="10" t="str">
        <x:v>U2_01010</x:v>
      </x:c>
      <x:c r="C112" s="10" t="str">
        <x:v>숲지기</x:v>
      </x:c>
      <x:c r="D112" s="10" t="str">
        <x:v>U2_20000</x:v>
      </x:c>
      <x:c r="E112" s="10" t="str">
        <x:v>중갑병</x:v>
      </x:c>
      <x:c r="F112" s="10" t="str">
        <x:v>U3_21010</x:v>
      </x:c>
      <x:c r="G112" s="10" t="str">
        <x:v>수림수호자</x:v>
      </x:c>
      <x:c r="H112" s="10" t="n">
        <x:v>3</x:v>
      </x:c>
      <x:c r="I112" s="10" t="str">
        <x:v>예</x:v>
      </x:c>
      <x:c r="J112" s="10" t="str">
        <x:v>기사×2 + 궁수×1 + 힐러×1</x:v>
      </x:c>
    </x:row>
    <x:row r="113" ht="54" customHeight="1">
      <x:c r="A113" s="9" t="str">
        <x:v>R_U2_01100_U2_01100</x:v>
      </x:c>
      <x:c r="B113" s="9" t="str">
        <x:v>U2_01100</x:v>
      </x:c>
      <x:c r="C113" s="9" t="str">
        <x:v>군악궁수</x:v>
      </x:c>
      <x:c r="D113" s="9" t="str">
        <x:v>U2_01100</x:v>
      </x:c>
      <x:c r="E113" s="9" t="str">
        <x:v>군악궁수</x:v>
      </x:c>
      <x:c r="F113" s="9" t="str">
        <x:v>U3_02200</x:v>
      </x:c>
      <x:c r="G113" s="9" t="str">
        <x:v>포격지휘관</x:v>
      </x:c>
      <x:c r="H113" s="9" t="n">
        <x:v>3</x:v>
      </x:c>
      <x:c r="I113" s="9" t="str">
        <x:v>아니오</x:v>
      </x:c>
      <x:c r="J113" s="9" t="str">
        <x:v>궁수×2 + 버퍼×2</x:v>
      </x:c>
    </x:row>
    <x:row r="114" ht="54" customHeight="1">
      <x:c r="A114" s="10" t="str">
        <x:v>R_U2_01100_U2_02000</x:v>
      </x:c>
      <x:c r="B114" s="10" t="str">
        <x:v>U2_01100</x:v>
      </x:c>
      <x:c r="C114" s="10" t="str">
        <x:v>군악궁수</x:v>
      </x:c>
      <x:c r="D114" s="10" t="str">
        <x:v>U2_02000</x:v>
      </x:c>
      <x:c r="E114" s="10" t="str">
        <x:v>명사수</x:v>
      </x:c>
      <x:c r="F114" s="10" t="str">
        <x:v>U3_03100</x:v>
      </x:c>
      <x:c r="G114" s="10" t="str">
        <x:v>폭풍사수</x:v>
      </x:c>
      <x:c r="H114" s="10" t="n">
        <x:v>3</x:v>
      </x:c>
      <x:c r="I114" s="10" t="str">
        <x:v>예</x:v>
      </x:c>
      <x:c r="J114" s="10" t="str">
        <x:v>궁수×3 + 버퍼×1</x:v>
      </x:c>
    </x:row>
    <x:row r="115" ht="54" customHeight="1">
      <x:c r="A115" s="9" t="str">
        <x:v>R_U2_01100_U2_10001</x:v>
      </x:c>
      <x:c r="B115" s="9" t="str">
        <x:v>U2_01100</x:v>
      </x:c>
      <x:c r="C115" s="9" t="str">
        <x:v>군악궁수</x:v>
      </x:c>
      <x:c r="D115" s="9" t="str">
        <x:v>U2_10001</x:v>
      </x:c>
      <x:c r="E115" s="9" t="str">
        <x:v>마검사</x:v>
      </x:c>
      <x:c r="F115" s="9" t="str">
        <x:v>U3_11101</x:v>
      </x:c>
      <x:c r="G115" s="9" t="str">
        <x:v>왕립전투현자</x:v>
      </x:c>
      <x:c r="H115" s="9" t="n">
        <x:v>3</x:v>
      </x:c>
      <x:c r="I115" s="9" t="str">
        <x:v>아니오</x:v>
      </x:c>
      <x:c r="J115" s="9" t="str">
        <x:v>기사×1 + 궁수×1 + 버퍼×1 + 마법사×1</x:v>
      </x:c>
    </x:row>
    <x:row r="116" ht="54" customHeight="1">
      <x:c r="A116" s="10" t="str">
        <x:v>R_U2_01100_U2_10010</x:v>
      </x:c>
      <x:c r="B116" s="10" t="str">
        <x:v>U2_01100</x:v>
      </x:c>
      <x:c r="C116" s="10" t="str">
        <x:v>군악궁수</x:v>
      </x:c>
      <x:c r="D116" s="10" t="str">
        <x:v>U2_10010</x:v>
      </x:c>
      <x:c r="E116" s="10" t="str">
        <x:v>성기사</x:v>
      </x:c>
      <x:c r="F116" s="10" t="str">
        <x:v>U3_11110</x:v>
      </x:c>
      <x:c r="G116" s="10" t="str">
        <x:v>왕실성전대장</x:v>
      </x:c>
      <x:c r="H116" s="10" t="n">
        <x:v>3</x:v>
      </x:c>
      <x:c r="I116" s="10" t="str">
        <x:v>아니오</x:v>
      </x:c>
      <x:c r="J116" s="10" t="str">
        <x:v>기사×1 + 궁수×1 + 버퍼×1 + 힐러×1</x:v>
      </x:c>
    </x:row>
    <x:row r="117" ht="54" customHeight="1">
      <x:c r="A117" s="9" t="str">
        <x:v>R_U2_01100_U2_10100</x:v>
      </x:c>
      <x:c r="B117" s="9" t="str">
        <x:v>U2_01100</x:v>
      </x:c>
      <x:c r="C117" s="9" t="str">
        <x:v>군악궁수</x:v>
      </x:c>
      <x:c r="D117" s="9" t="str">
        <x:v>U2_10100</x:v>
      </x:c>
      <x:c r="E117" s="9" t="str">
        <x:v>지휘관</x:v>
      </x:c>
      <x:c r="F117" s="9" t="str">
        <x:v>U3_11200</x:v>
      </x:c>
      <x:c r="G117" s="9" t="str">
        <x:v>왕실전술가</x:v>
      </x:c>
      <x:c r="H117" s="9" t="n">
        <x:v>3</x:v>
      </x:c>
      <x:c r="I117" s="9" t="str">
        <x:v>아니오</x:v>
      </x:c>
      <x:c r="J117" s="9" t="str">
        <x:v>기사×1 + 궁수×1 + 버퍼×2</x:v>
      </x:c>
    </x:row>
    <x:row r="118" ht="54" customHeight="1">
      <x:c r="A118" s="10" t="str">
        <x:v>R_U2_01100_U2_11000</x:v>
      </x:c>
      <x:c r="B118" s="10" t="str">
        <x:v>U2_01100</x:v>
      </x:c>
      <x:c r="C118" s="10" t="str">
        <x:v>군악궁수</x:v>
      </x:c>
      <x:c r="D118" s="10" t="str">
        <x:v>U2_11000</x:v>
      </x:c>
      <x:c r="E118" s="10" t="str">
        <x:v>척후병</x:v>
      </x:c>
      <x:c r="F118" s="10" t="str">
        <x:v>U3_12100</x:v>
      </x:c>
      <x:c r="G118" s="10" t="str">
        <x:v>왕실사냥대장</x:v>
      </x:c>
      <x:c r="H118" s="10" t="n">
        <x:v>3</x:v>
      </x:c>
      <x:c r="I118" s="10" t="str">
        <x:v>예</x:v>
      </x:c>
      <x:c r="J118" s="10" t="str">
        <x:v>기사×1 + 궁수×2 + 버퍼×1</x:v>
      </x:c>
    </x:row>
    <x:row r="119" ht="54" customHeight="1">
      <x:c r="A119" s="9" t="str">
        <x:v>R_U2_01100_U2_20000</x:v>
      </x:c>
      <x:c r="B119" s="9" t="str">
        <x:v>U2_01100</x:v>
      </x:c>
      <x:c r="C119" s="9" t="str">
        <x:v>군악궁수</x:v>
      </x:c>
      <x:c r="D119" s="9" t="str">
        <x:v>U2_20000</x:v>
      </x:c>
      <x:c r="E119" s="9" t="str">
        <x:v>중갑병</x:v>
      </x:c>
      <x:c r="F119" s="9" t="str">
        <x:v>U3_21100</x:v>
      </x:c>
      <x:c r="G119" s="9" t="str">
        <x:v>왕실척후대장</x:v>
      </x:c>
      <x:c r="H119" s="9" t="n">
        <x:v>3</x:v>
      </x:c>
      <x:c r="I119" s="9" t="str">
        <x:v>예</x:v>
      </x:c>
      <x:c r="J119" s="9" t="str">
        <x:v>기사×2 + 궁수×1 + 버퍼×1</x:v>
      </x:c>
    </x:row>
    <x:row r="120" ht="54" customHeight="1">
      <x:c r="A120" s="10" t="str">
        <x:v>R_U2_02000_U2_02000</x:v>
      </x:c>
      <x:c r="B120" s="10" t="str">
        <x:v>U2_02000</x:v>
      </x:c>
      <x:c r="C120" s="10" t="str">
        <x:v>명사수</x:v>
      </x:c>
      <x:c r="D120" s="10" t="str">
        <x:v>U2_02000</x:v>
      </x:c>
      <x:c r="E120" s="10" t="str">
        <x:v>명사수</x:v>
      </x:c>
      <x:c r="F120" s="10" t="str">
        <x:v>U3_04000</x:v>
      </x:c>
      <x:c r="G120" s="10" t="str">
        <x:v>천리궁수</x:v>
      </x:c>
      <x:c r="H120" s="10" t="n">
        <x:v>3</x:v>
      </x:c>
      <x:c r="I120" s="10" t="str">
        <x:v>예</x:v>
      </x:c>
      <x:c r="J120" s="10" t="str">
        <x:v>궁수×4</x:v>
      </x:c>
    </x:row>
    <x:row r="121" ht="54" customHeight="1">
      <x:c r="A121" s="9" t="str">
        <x:v>R_U2_02000_U2_10001</x:v>
      </x:c>
      <x:c r="B121" s="9" t="str">
        <x:v>U2_02000</x:v>
      </x:c>
      <x:c r="C121" s="9" t="str">
        <x:v>명사수</x:v>
      </x:c>
      <x:c r="D121" s="9" t="str">
        <x:v>U2_10001</x:v>
      </x:c>
      <x:c r="E121" s="9" t="str">
        <x:v>마검사</x:v>
      </x:c>
      <x:c r="F121" s="9" t="str">
        <x:v>U3_12001</x:v>
      </x:c>
      <x:c r="G121" s="9" t="str">
        <x:v>빙결노포병</x:v>
      </x:c>
      <x:c r="H121" s="9" t="n">
        <x:v>3</x:v>
      </x:c>
      <x:c r="I121" s="9" t="str">
        <x:v>아니오</x:v>
      </x:c>
      <x:c r="J121" s="9" t="str">
        <x:v>기사×1 + 궁수×2 + 마법사×1</x:v>
      </x:c>
    </x:row>
    <x:row r="122" ht="54" customHeight="1">
      <x:c r="A122" s="10" t="str">
        <x:v>R_U2_02000_U2_10010</x:v>
      </x:c>
      <x:c r="B122" s="10" t="str">
        <x:v>U2_02000</x:v>
      </x:c>
      <x:c r="C122" s="10" t="str">
        <x:v>명사수</x:v>
      </x:c>
      <x:c r="D122" s="10" t="str">
        <x:v>U2_10010</x:v>
      </x:c>
      <x:c r="E122" s="10" t="str">
        <x:v>성기사</x:v>
      </x:c>
      <x:c r="F122" s="10" t="str">
        <x:v>U3_12010</x:v>
      </x:c>
      <x:c r="G122" s="10" t="str">
        <x:v>숲의 파수꾼</x:v>
      </x:c>
      <x:c r="H122" s="10" t="n">
        <x:v>3</x:v>
      </x:c>
      <x:c r="I122" s="10" t="str">
        <x:v>아니오</x:v>
      </x:c>
      <x:c r="J122" s="10" t="str">
        <x:v>기사×1 + 궁수×2 + 힐러×1</x:v>
      </x:c>
    </x:row>
    <x:row r="123" ht="54" customHeight="1">
      <x:c r="A123" s="9" t="str">
        <x:v>R_U2_02000_U2_10100</x:v>
      </x:c>
      <x:c r="B123" s="9" t="str">
        <x:v>U2_02000</x:v>
      </x:c>
      <x:c r="C123" s="9" t="str">
        <x:v>명사수</x:v>
      </x:c>
      <x:c r="D123" s="9" t="str">
        <x:v>U2_10100</x:v>
      </x:c>
      <x:c r="E123" s="9" t="str">
        <x:v>지휘관</x:v>
      </x:c>
      <x:c r="F123" s="9" t="str">
        <x:v>U3_12100</x:v>
      </x:c>
      <x:c r="G123" s="9" t="str">
        <x:v>왕실사냥대장</x:v>
      </x:c>
      <x:c r="H123" s="9" t="n">
        <x:v>3</x:v>
      </x:c>
      <x:c r="I123" s="9" t="str">
        <x:v>아니오</x:v>
      </x:c>
      <x:c r="J123" s="9" t="str">
        <x:v>기사×1 + 궁수×2 + 버퍼×1</x:v>
      </x:c>
    </x:row>
    <x:row r="124" ht="54" customHeight="1">
      <x:c r="A124" s="10" t="str">
        <x:v>R_U2_02000_U2_11000</x:v>
      </x:c>
      <x:c r="B124" s="10" t="str">
        <x:v>U2_02000</x:v>
      </x:c>
      <x:c r="C124" s="10" t="str">
        <x:v>명사수</x:v>
      </x:c>
      <x:c r="D124" s="10" t="str">
        <x:v>U2_11000</x:v>
      </x:c>
      <x:c r="E124" s="10" t="str">
        <x:v>척후병</x:v>
      </x:c>
      <x:c r="F124" s="10" t="str">
        <x:v>U3_13000</x:v>
      </x:c>
      <x:c r="G124" s="10" t="str">
        <x:v>철갑저격수</x:v>
      </x:c>
      <x:c r="H124" s="10" t="n">
        <x:v>3</x:v>
      </x:c>
      <x:c r="I124" s="10" t="str">
        <x:v>예</x:v>
      </x:c>
      <x:c r="J124" s="10" t="str">
        <x:v>기사×1 + 궁수×3</x:v>
      </x:c>
    </x:row>
    <x:row r="125" ht="54" customHeight="1">
      <x:c r="A125" s="9" t="str">
        <x:v>R_U2_02000_U2_20000</x:v>
      </x:c>
      <x:c r="B125" s="9" t="str">
        <x:v>U2_02000</x:v>
      </x:c>
      <x:c r="C125" s="9" t="str">
        <x:v>명사수</x:v>
      </x:c>
      <x:c r="D125" s="9" t="str">
        <x:v>U2_20000</x:v>
      </x:c>
      <x:c r="E125" s="9" t="str">
        <x:v>중갑병</x:v>
      </x:c>
      <x:c r="F125" s="9" t="str">
        <x:v>U3_22000</x:v>
      </x:c>
      <x:c r="G125" s="9" t="str">
        <x:v>성채석궁장</x:v>
      </x:c>
      <x:c r="H125" s="9" t="n">
        <x:v>3</x:v>
      </x:c>
      <x:c r="I125" s="9" t="str">
        <x:v>예</x:v>
      </x:c>
      <x:c r="J125" s="9" t="str">
        <x:v>기사×2 + 궁수×2</x:v>
      </x:c>
    </x:row>
    <x:row r="126" ht="54" customHeight="1">
      <x:c r="A126" s="10" t="str">
        <x:v>R_U2_10001_U2_10001</x:v>
      </x:c>
      <x:c r="B126" s="10" t="str">
        <x:v>U2_10001</x:v>
      </x:c>
      <x:c r="C126" s="10" t="str">
        <x:v>마검사</x:v>
      </x:c>
      <x:c r="D126" s="10" t="str">
        <x:v>U2_10001</x:v>
      </x:c>
      <x:c r="E126" s="10" t="str">
        <x:v>마검사</x:v>
      </x:c>
      <x:c r="F126" s="10" t="str">
        <x:v>U3_20002</x:v>
      </x:c>
      <x:c r="G126" s="10" t="str">
        <x:v>룬수호자</x:v>
      </x:c>
      <x:c r="H126" s="10" t="n">
        <x:v>3</x:v>
      </x:c>
      <x:c r="I126" s="10" t="str">
        <x:v>아니오</x:v>
      </x:c>
      <x:c r="J126" s="10" t="str">
        <x:v>기사×2 + 마법사×2</x:v>
      </x:c>
    </x:row>
    <x:row r="127" ht="54" customHeight="1">
      <x:c r="A127" s="9" t="str">
        <x:v>R_U2_10001_U2_10010</x:v>
      </x:c>
      <x:c r="B127" s="9" t="str">
        <x:v>U2_10001</x:v>
      </x:c>
      <x:c r="C127" s="9" t="str">
        <x:v>마검사</x:v>
      </x:c>
      <x:c r="D127" s="9" t="str">
        <x:v>U2_10010</x:v>
      </x:c>
      <x:c r="E127" s="9" t="str">
        <x:v>성기사</x:v>
      </x:c>
      <x:c r="F127" s="9" t="str">
        <x:v>U3_20011</x:v>
      </x:c>
      <x:c r="G127" s="9" t="str">
        <x:v>서리성기사</x:v>
      </x:c>
      <x:c r="H127" s="9" t="n">
        <x:v>3</x:v>
      </x:c>
      <x:c r="I127" s="9" t="str">
        <x:v>아니오</x:v>
      </x:c>
      <x:c r="J127" s="9" t="str">
        <x:v>기사×2 + 힐러×1 + 마법사×1</x:v>
      </x:c>
    </x:row>
    <x:row r="128" ht="54" customHeight="1">
      <x:c r="A128" s="10" t="str">
        <x:v>R_U2_10001_U2_10100</x:v>
      </x:c>
      <x:c r="B128" s="10" t="str">
        <x:v>U2_10001</x:v>
      </x:c>
      <x:c r="C128" s="10" t="str">
        <x:v>마검사</x:v>
      </x:c>
      <x:c r="D128" s="10" t="str">
        <x:v>U2_10100</x:v>
      </x:c>
      <x:c r="E128" s="10" t="str">
        <x:v>지휘관</x:v>
      </x:c>
      <x:c r="F128" s="10" t="str">
        <x:v>U3_20101</x:v>
      </x:c>
      <x:c r="G128" s="10" t="str">
        <x:v>왕립마도기사</x:v>
      </x:c>
      <x:c r="H128" s="10" t="n">
        <x:v>3</x:v>
      </x:c>
      <x:c r="I128" s="10" t="str">
        <x:v>아니오</x:v>
      </x:c>
      <x:c r="J128" s="10" t="str">
        <x:v>기사×2 + 버퍼×1 + 마법사×1</x:v>
      </x:c>
    </x:row>
    <x:row r="129" ht="54" customHeight="1">
      <x:c r="A129" s="9" t="str">
        <x:v>R_U2_10001_U2_11000</x:v>
      </x:c>
      <x:c r="B129" s="9" t="str">
        <x:v>U2_10001</x:v>
      </x:c>
      <x:c r="C129" s="9" t="str">
        <x:v>마검사</x:v>
      </x:c>
      <x:c r="D129" s="9" t="str">
        <x:v>U2_11000</x:v>
      </x:c>
      <x:c r="E129" s="9" t="str">
        <x:v>척후병</x:v>
      </x:c>
      <x:c r="F129" s="9" t="str">
        <x:v>U3_21001</x:v>
      </x:c>
      <x:c r="G129" s="9" t="str">
        <x:v>천둥창기사</x:v>
      </x:c>
      <x:c r="H129" s="9" t="n">
        <x:v>3</x:v>
      </x:c>
      <x:c r="I129" s="9" t="str">
        <x:v>아니오</x:v>
      </x:c>
      <x:c r="J129" s="9" t="str">
        <x:v>기사×2 + 궁수×1 + 마법사×1</x:v>
      </x:c>
    </x:row>
    <x:row r="130" ht="54" customHeight="1">
      <x:c r="A130" s="10" t="str">
        <x:v>R_U2_10001_U2_20000</x:v>
      </x:c>
      <x:c r="B130" s="10" t="str">
        <x:v>U2_10001</x:v>
      </x:c>
      <x:c r="C130" s="10" t="str">
        <x:v>마검사</x:v>
      </x:c>
      <x:c r="D130" s="10" t="str">
        <x:v>U2_20000</x:v>
      </x:c>
      <x:c r="E130" s="10" t="str">
        <x:v>중갑병</x:v>
      </x:c>
      <x:c r="F130" s="10" t="str">
        <x:v>U3_30001</x:v>
      </x:c>
      <x:c r="G130" s="10" t="str">
        <x:v>용광로 기사</x:v>
      </x:c>
      <x:c r="H130" s="10" t="n">
        <x:v>3</x:v>
      </x:c>
      <x:c r="I130" s="10" t="str">
        <x:v>예</x:v>
      </x:c>
      <x:c r="J130" s="10" t="str">
        <x:v>기사×3 + 마법사×1</x:v>
      </x:c>
    </x:row>
    <x:row r="131" ht="54" customHeight="1">
      <x:c r="A131" s="9" t="str">
        <x:v>R_U2_10010_U2_10010</x:v>
      </x:c>
      <x:c r="B131" s="9" t="str">
        <x:v>U2_10010</x:v>
      </x:c>
      <x:c r="C131" s="9" t="str">
        <x:v>성기사</x:v>
      </x:c>
      <x:c r="D131" s="9" t="str">
        <x:v>U2_10010</x:v>
      </x:c>
      <x:c r="E131" s="9" t="str">
        <x:v>성기사</x:v>
      </x:c>
      <x:c r="F131" s="9" t="str">
        <x:v>U3_20020</x:v>
      </x:c>
      <x:c r="G131" s="9" t="str">
        <x:v>성역기사</x:v>
      </x:c>
      <x:c r="H131" s="9" t="n">
        <x:v>3</x:v>
      </x:c>
      <x:c r="I131" s="9" t="str">
        <x:v>아니오</x:v>
      </x:c>
      <x:c r="J131" s="9" t="str">
        <x:v>기사×2 + 힐러×2</x:v>
      </x:c>
    </x:row>
    <x:row r="132" ht="54" customHeight="1">
      <x:c r="A132" s="10" t="str">
        <x:v>R_U2_10010_U2_10100</x:v>
      </x:c>
      <x:c r="B132" s="10" t="str">
        <x:v>U2_10010</x:v>
      </x:c>
      <x:c r="C132" s="10" t="str">
        <x:v>성기사</x:v>
      </x:c>
      <x:c r="D132" s="10" t="str">
        <x:v>U2_10100</x:v>
      </x:c>
      <x:c r="E132" s="10" t="str">
        <x:v>지휘관</x:v>
      </x:c>
      <x:c r="F132" s="10" t="str">
        <x:v>U3_20110</x:v>
      </x:c>
      <x:c r="G132" s="10" t="str">
        <x:v>왕실구호대장</x:v>
      </x:c>
      <x:c r="H132" s="10" t="n">
        <x:v>3</x:v>
      </x:c>
      <x:c r="I132" s="10" t="str">
        <x:v>아니오</x:v>
      </x:c>
      <x:c r="J132" s="10" t="str">
        <x:v>기사×2 + 버퍼×1 + 힐러×1</x:v>
      </x:c>
    </x:row>
    <x:row r="133" ht="54" customHeight="1">
      <x:c r="A133" s="9" t="str">
        <x:v>R_U2_10010_U2_11000</x:v>
      </x:c>
      <x:c r="B133" s="9" t="str">
        <x:v>U2_10010</x:v>
      </x:c>
      <x:c r="C133" s="9" t="str">
        <x:v>성기사</x:v>
      </x:c>
      <x:c r="D133" s="9" t="str">
        <x:v>U2_11000</x:v>
      </x:c>
      <x:c r="E133" s="9" t="str">
        <x:v>척후병</x:v>
      </x:c>
      <x:c r="F133" s="9" t="str">
        <x:v>U3_21010</x:v>
      </x:c>
      <x:c r="G133" s="9" t="str">
        <x:v>수림수호자</x:v>
      </x:c>
      <x:c r="H133" s="9" t="n">
        <x:v>3</x:v>
      </x:c>
      <x:c r="I133" s="9" t="str">
        <x:v>아니오</x:v>
      </x:c>
      <x:c r="J133" s="9" t="str">
        <x:v>기사×2 + 궁수×1 + 힐러×1</x:v>
      </x:c>
    </x:row>
    <x:row r="134" ht="54" customHeight="1">
      <x:c r="A134" s="10" t="str">
        <x:v>R_U2_10010_U2_20000</x:v>
      </x:c>
      <x:c r="B134" s="10" t="str">
        <x:v>U2_10010</x:v>
      </x:c>
      <x:c r="C134" s="10" t="str">
        <x:v>성기사</x:v>
      </x:c>
      <x:c r="D134" s="10" t="str">
        <x:v>U2_20000</x:v>
      </x:c>
      <x:c r="E134" s="10" t="str">
        <x:v>중갑병</x:v>
      </x:c>
      <x:c r="F134" s="10" t="str">
        <x:v>U3_30010</x:v>
      </x:c>
      <x:c r="G134" s="10" t="str">
        <x:v>순교수호자</x:v>
      </x:c>
      <x:c r="H134" s="10" t="n">
        <x:v>3</x:v>
      </x:c>
      <x:c r="I134" s="10" t="str">
        <x:v>예</x:v>
      </x:c>
      <x:c r="J134" s="10" t="str">
        <x:v>기사×3 + 힐러×1</x:v>
      </x:c>
    </x:row>
    <x:row r="135" ht="54" customHeight="1">
      <x:c r="A135" s="9" t="str">
        <x:v>R_U2_10100_U2_10100</x:v>
      </x:c>
      <x:c r="B135" s="9" t="str">
        <x:v>U2_10100</x:v>
      </x:c>
      <x:c r="C135" s="9" t="str">
        <x:v>지휘관</x:v>
      </x:c>
      <x:c r="D135" s="9" t="str">
        <x:v>U2_10100</x:v>
      </x:c>
      <x:c r="E135" s="9" t="str">
        <x:v>지휘관</x:v>
      </x:c>
      <x:c r="F135" s="9" t="str">
        <x:v>U3_20200</x:v>
      </x:c>
      <x:c r="G135" s="9" t="str">
        <x:v>전장의 원수</x:v>
      </x:c>
      <x:c r="H135" s="9" t="n">
        <x:v>3</x:v>
      </x:c>
      <x:c r="I135" s="9" t="str">
        <x:v>아니오</x:v>
      </x:c>
      <x:c r="J135" s="9" t="str">
        <x:v>기사×2 + 버퍼×2</x:v>
      </x:c>
    </x:row>
    <x:row r="136" ht="54" customHeight="1">
      <x:c r="A136" s="10" t="str">
        <x:v>R_U2_10100_U2_11000</x:v>
      </x:c>
      <x:c r="B136" s="10" t="str">
        <x:v>U2_10100</x:v>
      </x:c>
      <x:c r="C136" s="10" t="str">
        <x:v>지휘관</x:v>
      </x:c>
      <x:c r="D136" s="10" t="str">
        <x:v>U2_11000</x:v>
      </x:c>
      <x:c r="E136" s="10" t="str">
        <x:v>척후병</x:v>
      </x:c>
      <x:c r="F136" s="10" t="str">
        <x:v>U3_21100</x:v>
      </x:c>
      <x:c r="G136" s="10" t="str">
        <x:v>왕실척후대장</x:v>
      </x:c>
      <x:c r="H136" s="10" t="n">
        <x:v>3</x:v>
      </x:c>
      <x:c r="I136" s="10" t="str">
        <x:v>아니오</x:v>
      </x:c>
      <x:c r="J136" s="10" t="str">
        <x:v>기사×2 + 궁수×1 + 버퍼×1</x:v>
      </x:c>
    </x:row>
    <x:row r="137" ht="54" customHeight="1">
      <x:c r="A137" s="9" t="str">
        <x:v>R_U2_10100_U2_20000</x:v>
      </x:c>
      <x:c r="B137" s="9" t="str">
        <x:v>U2_10100</x:v>
      </x:c>
      <x:c r="C137" s="9" t="str">
        <x:v>지휘관</x:v>
      </x:c>
      <x:c r="D137" s="9" t="str">
        <x:v>U2_20000</x:v>
      </x:c>
      <x:c r="E137" s="9" t="str">
        <x:v>중갑병</x:v>
      </x:c>
      <x:c r="F137" s="9" t="str">
        <x:v>U3_30100</x:v>
      </x:c>
      <x:c r="G137" s="9" t="str">
        <x:v>왕실근위대장</x:v>
      </x:c>
      <x:c r="H137" s="9" t="n">
        <x:v>3</x:v>
      </x:c>
      <x:c r="I137" s="9" t="str">
        <x:v>예</x:v>
      </x:c>
      <x:c r="J137" s="9" t="str">
        <x:v>기사×3 + 버퍼×1</x:v>
      </x:c>
    </x:row>
    <x:row r="138" ht="54" customHeight="1">
      <x:c r="A138" s="10" t="str">
        <x:v>R_U2_11000_U2_11000</x:v>
      </x:c>
      <x:c r="B138" s="10" t="str">
        <x:v>U2_11000</x:v>
      </x:c>
      <x:c r="C138" s="10" t="str">
        <x:v>척후병</x:v>
      </x:c>
      <x:c r="D138" s="10" t="str">
        <x:v>U2_11000</x:v>
      </x:c>
      <x:c r="E138" s="10" t="str">
        <x:v>척후병</x:v>
      </x:c>
      <x:c r="F138" s="10" t="str">
        <x:v>U3_22000</x:v>
      </x:c>
      <x:c r="G138" s="10" t="str">
        <x:v>성채석궁장</x:v>
      </x:c>
      <x:c r="H138" s="10" t="n">
        <x:v>3</x:v>
      </x:c>
      <x:c r="I138" s="10" t="str">
        <x:v>아니오</x:v>
      </x:c>
      <x:c r="J138" s="10" t="str">
        <x:v>기사×2 + 궁수×2</x:v>
      </x:c>
    </x:row>
    <x:row r="139" ht="54" customHeight="1">
      <x:c r="A139" s="9" t="str">
        <x:v>R_U2_11000_U2_20000</x:v>
      </x:c>
      <x:c r="B139" s="9" t="str">
        <x:v>U2_11000</x:v>
      </x:c>
      <x:c r="C139" s="9" t="str">
        <x:v>척후병</x:v>
      </x:c>
      <x:c r="D139" s="9" t="str">
        <x:v>U2_20000</x:v>
      </x:c>
      <x:c r="E139" s="9" t="str">
        <x:v>중갑병</x:v>
      </x:c>
      <x:c r="F139" s="9" t="str">
        <x:v>U3_31000</x:v>
      </x:c>
      <x:c r="G139" s="9" t="str">
        <x:v>성문 사냥꾼</x:v>
      </x:c>
      <x:c r="H139" s="9" t="n">
        <x:v>3</x:v>
      </x:c>
      <x:c r="I139" s="9" t="str">
        <x:v>예</x:v>
      </x:c>
      <x:c r="J139" s="9" t="str">
        <x:v>기사×3 + 궁수×1</x:v>
      </x:c>
    </x:row>
    <x:row r="140" ht="54" customHeight="1">
      <x:c r="A140" s="10" t="str">
        <x:v>R_U2_20000_U2_20000</x:v>
      </x:c>
      <x:c r="B140" s="10" t="str">
        <x:v>U2_20000</x:v>
      </x:c>
      <x:c r="C140" s="10" t="str">
        <x:v>중갑병</x:v>
      </x:c>
      <x:c r="D140" s="10" t="str">
        <x:v>U2_20000</x:v>
      </x:c>
      <x:c r="E140" s="10" t="str">
        <x:v>중갑병</x:v>
      </x:c>
      <x:c r="F140" s="10" t="str">
        <x:v>U3_40000</x:v>
      </x:c>
      <x:c r="G140" s="10" t="str">
        <x:v>철벽수호자</x:v>
      </x:c>
      <x:c r="H140" s="10" t="n">
        <x:v>3</x:v>
      </x:c>
      <x:c r="I140" s="10" t="str">
        <x:v>예</x:v>
      </x:c>
      <x:c r="J140" s="10" t="str">
        <x:v>기사×4</x:v>
      </x:c>
    </x:row>
  </x:sheetData>
  <x:pageMargins left="0.7" right="0.7" top="0.75" bottom="0.75" header="0.3" footer="0.3"/>
  <x:tableParts count="1">
    <x:tablePart xmlns:r="http://schemas.openxmlformats.org/officeDocument/2006/relationships" r:id="Rd69f758f4b544dd6"/>
  </x:tableParts>
</x:worksheet>
</file>

<file path=xl/worksheets/sheet5.xml><?xml version="1.0" encoding="utf-8"?>
<x:worksheet xmlns:x="http://schemas.openxmlformats.org/spreadsheetml/2006/main">
  <x:sheetPr>
    <x:tabColor rgb="FF305E6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2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테마 키워드와 편성 시너지</x:v>
      </x:c>
      <x:c r="B2" s="2"/>
      <x:c r="C2" s="2"/>
      <x:c r="D2" s="2"/>
      <x:c r="E2" s="2"/>
      <x:c r="F2" s="2"/>
      <x:c r="G2" s="2"/>
      <x:c r="H2" s="2"/>
    </x:row>
    <x:row r="3">
      <x:c r="A3" s="4" t="str">
        <x:v>모든 배율은 초기 제안값. 같은 태그 2종/4종에 가장 높은 단계 하나만 적용. 효과 대상은 해당 태그 아군.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8" t="str">
        <x:v>키워드</x:v>
      </x:c>
      <x:c r="B5" s="8" t="str">
        <x:v>시너지명</x:v>
      </x:c>
      <x:c r="C5" s="8" t="str">
        <x:v>효과 ID</x:v>
      </x:c>
      <x:c r="D5" s="8" t="str">
        <x:v>1단계 인원</x:v>
      </x:c>
      <x:c r="E5" s="8" t="str">
        <x:v>1단계 증가율</x:v>
      </x:c>
      <x:c r="F5" s="8" t="str">
        <x:v>2단계 인원</x:v>
      </x:c>
      <x:c r="G5" s="8" t="str">
        <x:v>2단계 증가율</x:v>
      </x:c>
      <x:c r="H5" s="8" t="str">
        <x:v>적용 규칙</x:v>
      </x:c>
    </x:row>
    <x:row r="6" ht="54" customHeight="1">
      <x:c r="A6" s="10" t="str">
        <x:v>궁정</x:v>
      </x:c>
      <x:c r="B6" s="10" t="str">
        <x:v>정렬된 전선</x:v>
      </x:c>
      <x:c r="C6" s="10" t="str">
        <x:v>ARMOR_UP</x:v>
      </x:c>
      <x:c r="D6" s="10" t="n">
        <x:v>2</x:v>
      </x:c>
      <x:c r="E6" s="15" t="n">
        <x:v>0.1</x:v>
      </x:c>
      <x:c r="F6" s="10" t="n">
        <x:v>4</x:v>
      </x:c>
      <x:c r="G6" s="15" t="n">
        <x:v>0.2</x:v>
      </x:c>
      <x:c r="H6" s="10" t="str">
        <x:v>해당 키워드 아군의 방어력을 높인다.</x:v>
      </x:c>
    </x:row>
    <x:row r="7" ht="54" customHeight="1">
      <x:c r="A7" s="9" t="str">
        <x:v>신성</x:v>
      </x:c>
      <x:c r="B7" s="9" t="str">
        <x:v>축복의 순환</x:v>
      </x:c>
      <x:c r="C7" s="9" t="str">
        <x:v>HEAL_RECEIVED_UP</x:v>
      </x:c>
      <x:c r="D7" s="9" t="n">
        <x:v>2</x:v>
      </x:c>
      <x:c r="E7" s="16" t="n">
        <x:v>0.1</x:v>
      </x:c>
      <x:c r="F7" s="9" t="n">
        <x:v>4</x:v>
      </x:c>
      <x:c r="G7" s="16" t="n">
        <x:v>0.2</x:v>
      </x:c>
      <x:c r="H7" s="9" t="str">
        <x:v>해당 키워드 아군이 받는 회복량을 높인다. 보호막 생성량에는 적용하지 않는다.</x:v>
      </x:c>
    </x:row>
    <x:row r="8" ht="54" customHeight="1">
      <x:c r="A8" s="10" t="str">
        <x:v>비전</x:v>
      </x:c>
      <x:c r="B8" s="10" t="str">
        <x:v>마력 공명</x:v>
      </x:c>
      <x:c r="C8" s="10" t="str">
        <x:v>SKILL_DAMAGE_UP</x:v>
      </x:c>
      <x:c r="D8" s="10" t="n">
        <x:v>2</x:v>
      </x:c>
      <x:c r="E8" s="15" t="n">
        <x:v>0.1</x:v>
      </x:c>
      <x:c r="F8" s="10" t="n">
        <x:v>4</x:v>
      </x:c>
      <x:c r="G8" s="15" t="n">
        <x:v>0.2</x:v>
      </x:c>
      <x:c r="H8" s="10" t="str">
        <x:v>해당 키워드 아군의 능력 피해를 높인다. 기본 공격과 회복은 제외한다.</x:v>
      </x:c>
    </x:row>
    <x:row r="9" ht="54" customHeight="1">
      <x:c r="A9" s="9" t="str">
        <x:v>자연</x:v>
      </x:c>
      <x:c r="B9" s="9" t="str">
        <x:v>생명의 뿌리</x:v>
      </x:c>
      <x:c r="C9" s="9" t="str">
        <x:v>MAX_HP_UP</x:v>
      </x:c>
      <x:c r="D9" s="9" t="n">
        <x:v>2</x:v>
      </x:c>
      <x:c r="E9" s="16" t="n">
        <x:v>0.1</x:v>
      </x:c>
      <x:c r="F9" s="9" t="n">
        <x:v>4</x:v>
      </x:c>
      <x:c r="G9" s="16" t="n">
        <x:v>0.2</x:v>
      </x:c>
      <x:c r="H9" s="9" t="str">
        <x:v>해당 키워드 아군의 최대 체력을 높인다. 전투 시작 시 적용한다.</x:v>
      </x:c>
    </x:row>
    <x:row r="10" ht="54" customHeight="1">
      <x:c r="A10" s="10" t="str">
        <x:v>공학</x:v>
      </x:c>
      <x:c r="B10" s="10" t="str">
        <x:v>정밀 조준</x:v>
      </x:c>
      <x:c r="C10" s="10" t="str">
        <x:v>WEAK_DAMAGE_UP</x:v>
      </x:c>
      <x:c r="D10" s="10" t="n">
        <x:v>2</x:v>
      </x:c>
      <x:c r="E10" s="15" t="n">
        <x:v>0.1</x:v>
      </x:c>
      <x:c r="F10" s="10" t="n">
        <x:v>4</x:v>
      </x:c>
      <x:c r="G10" s="15" t="n">
        <x:v>0.2</x:v>
      </x:c>
      <x:c r="H10" s="10" t="str">
        <x:v>해당 키워드 아군이 약점을 맞혔을 때 피해를 추가 증폭한다.</x:v>
      </x:c>
    </x:row>
    <x:row r="11" ht="54" customHeight="1">
      <x:c r="A11" s="9" t="str">
        <x:v>암영</x:v>
      </x:c>
      <x:c r="B11" s="9" t="str">
        <x:v>황혼의 추격</x:v>
      </x:c>
      <x:c r="C11" s="9" t="str">
        <x:v>DEBUFF_TARGET_DAMAGE_UP</x:v>
      </x:c>
      <x:c r="D11" s="9" t="n">
        <x:v>2</x:v>
      </x:c>
      <x:c r="E11" s="16" t="n">
        <x:v>0.1</x:v>
      </x:c>
      <x:c r="F11" s="9" t="n">
        <x:v>4</x:v>
      </x:c>
      <x:c r="G11" s="16" t="n">
        <x:v>0.2</x:v>
      </x:c>
      <x:c r="H11" s="9" t="str">
        <x:v>해당 키워드 아군이 약화 효과를 가진 적에게 주는 피해를 높인다.</x:v>
      </x:c>
    </x:row>
    <x:row r="12" ht="54" customHeight="1">
      <x:c r="A12" s="10" t="str">
        <x:v>북방</x:v>
      </x:c>
      <x:c r="B12" s="10" t="str">
        <x:v>동토의 사냥</x:v>
      </x:c>
      <x:c r="C12" s="10" t="str">
        <x:v>SLOWED_TARGET_DAMAGE_UP</x:v>
      </x:c>
      <x:c r="D12" s="10" t="n">
        <x:v>2</x:v>
      </x:c>
      <x:c r="E12" s="15" t="n">
        <x:v>0.1</x:v>
      </x:c>
      <x:c r="F12" s="10" t="n">
        <x:v>4</x:v>
      </x:c>
      <x:c r="G12" s="15" t="n">
        <x:v>0.2</x:v>
      </x:c>
      <x:c r="H12" s="10" t="str">
        <x:v>해당 키워드 아군이 둔화·속박된 적에게 주는 피해를 높인다.</x:v>
      </x:c>
    </x:row>
    <x:row r="13" ht="54" customHeight="1">
      <x:c r="A13" s="9" t="str">
        <x:v>용맹</x:v>
      </x:c>
      <x:c r="B13" s="9" t="str">
        <x:v>불굴의 진군</x:v>
      </x:c>
      <x:c r="C13" s="9" t="str">
        <x:v>ATTACK_UP</x:v>
      </x:c>
      <x:c r="D13" s="9" t="n">
        <x:v>2</x:v>
      </x:c>
      <x:c r="E13" s="16" t="n">
        <x:v>0.1</x:v>
      </x:c>
      <x:c r="F13" s="9" t="n">
        <x:v>4</x:v>
      </x:c>
      <x:c r="G13" s="16" t="n">
        <x:v>0.2</x:v>
      </x:c>
      <x:c r="H13" s="9" t="str">
        <x:v>해당 키워드 아군의 공격력을 높인다.</x:v>
      </x:c>
    </x:row>
  </x:sheetData>
  <x:pageMargins left="0.7" right="0.7" top="0.75" bottom="0.75" header="0.3" footer="0.3"/>
  <x:tableParts count="1">
    <x:tablePart xmlns:r="http://schemas.openxmlformats.org/officeDocument/2006/relationships" r:id="R88a313f3c24c4278"/>
  </x:tableParts>
</x:worksheet>
</file>

<file path=xl/worksheets/sheet6.xml><?xml version="1.0" encoding="utf-8"?>
<x:worksheet xmlns:x="http://schemas.openxmlformats.org/spreadsheetml/2006/main">
  <x:sheetPr>
    <x:tabColor rgb="FF305E6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21" hidden="0" customWidth="1"/>
    <x:col min="5" max="5" width="23" hidden="0" customWidth="1"/>
    <x:col min="6" max="6" width="76" hidden="0" customWidth="1"/>
    <x:col min="7" max="7" width="2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몬스터 약점 설계 14종</x:v>
      </x:c>
      <x:c r="B2" s="2"/>
      <x:c r="C2" s="2"/>
      <x:c r="D2" s="2"/>
      <x:c r="E2" s="2"/>
      <x:c r="F2" s="2"/>
      <x:c r="G2" s="2"/>
    </x:row>
    <x:row r="3">
      <x:c r="A3" s="4" t="str">
        <x:v>공격속성과 약점 목록을 비교. 물리도 독립 공격속성으로 취급. 여러 약점은 중복 배율을 만들지 않음.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몬스터 ID</x:v>
      </x:c>
      <x:c r="B5" s="8" t="str">
        <x:v>이름</x:v>
      </x:c>
      <x:c r="C5" s="8" t="str">
        <x:v>등급</x:v>
      </x:c>
      <x:c r="D5" s="8" t="str">
        <x:v>약점속성</x:v>
      </x:c>
      <x:c r="E5" s="8" t="str">
        <x:v>테마</x:v>
      </x:c>
      <x:c r="F5" s="8" t="str">
        <x:v>행동</x:v>
      </x:c>
      <x:c r="G5" s="8" t="str">
        <x:v>추천 대응 빌드</x:v>
      </x:c>
    </x:row>
    <x:row r="6" ht="54" customHeight="1">
      <x:c r="A6" s="10" t="str">
        <x:v>E01</x:v>
      </x:c>
      <x:c r="B6" s="10" t="str">
        <x:v>갑주 반란병</x:v>
      </x:c>
      <x:c r="C6" s="10" t="str">
        <x:v>일반</x:v>
      </x:c>
      <x:c r="D6" s="10" t="str">
        <x:v>번개</x:v>
      </x:c>
      <x:c r="E6" s="10" t="str">
        <x:v>궁정 반란군</x:v>
      </x:c>
      <x:c r="F6" s="10" t="str">
        <x:v>높은 물리 방어력으로 전방을 압박한다.</x:v>
      </x:c>
      <x:c r="G6" s="10" t="str">
        <x:v>약점 분석</x:v>
      </x:c>
    </x:row>
    <x:row r="7" ht="54" customHeight="1">
      <x:c r="A7" s="9" t="str">
        <x:v>E02</x:v>
      </x:c>
      <x:c r="B7" s="9" t="str">
        <x:v>망령 병사</x:v>
      </x:c>
      <x:c r="C7" s="9" t="str">
        <x:v>일반</x:v>
      </x:c>
      <x:c r="D7" s="9" t="str">
        <x:v>신성</x:v>
      </x:c>
      <x:c r="E7" s="9" t="str">
        <x:v>암영 군단</x:v>
      </x:c>
      <x:c r="F7" s="9" t="str">
        <x:v>일정 주기로 짧게 모습을 감추지만 저지는 유지된다.</x:v>
      </x:c>
      <x:c r="G7" s="9" t="str">
        <x:v>성역 유지</x:v>
      </x:c>
    </x:row>
    <x:row r="8" ht="54" customHeight="1">
      <x:c r="A8" s="10" t="str">
        <x:v>E03</x:v>
      </x:c>
      <x:c r="B8" s="10" t="str">
        <x:v>독안개 마녀</x:v>
      </x:c>
      <x:c r="C8" s="10" t="str">
        <x:v>정예</x:v>
      </x:c>
      <x:c r="D8" s="10" t="str">
        <x:v>신성|화염</x:v>
      </x:c>
      <x:c r="E8" s="10" t="str">
        <x:v>암영 군단</x:v>
      </x:c>
      <x:c r="F8" s="10" t="str">
        <x:v>지속 피해 약화를 부여한다. 정화 가능하다.</x:v>
      </x:c>
      <x:c r="G8" s="10" t="str">
        <x:v>황혼 정화</x:v>
      </x:c>
    </x:row>
    <x:row r="9" ht="54" customHeight="1">
      <x:c r="A9" s="9" t="str">
        <x:v>E04</x:v>
      </x:c>
      <x:c r="B9" s="9" t="str">
        <x:v>서리 거인</x:v>
      </x:c>
      <x:c r="C9" s="9" t="str">
        <x:v>정예</x:v>
      </x:c>
      <x:c r="D9" s="9" t="str">
        <x:v>화염</x:v>
      </x:c>
      <x:c r="E9" s="9" t="str">
        <x:v>북방 괴수</x:v>
      </x:c>
      <x:c r="F9" s="9" t="str">
        <x:v>이동은 느리지만 저지한 유닛에게 큰 피해를 준다.</x:v>
      </x:c>
      <x:c r="G9" s="9" t="str">
        <x:v>용광로 방어</x:v>
      </x:c>
    </x:row>
    <x:row r="10" ht="54" customHeight="1">
      <x:c r="A10" s="10" t="str">
        <x:v>E05</x:v>
      </x:c>
      <x:c r="B10" s="10" t="str">
        <x:v>화염 정령</x:v>
      </x:c>
      <x:c r="C10" s="10" t="str">
        <x:v>일반</x:v>
      </x:c>
      <x:c r="D10" s="10" t="str">
        <x:v>냉기</x:v>
      </x:c>
      <x:c r="E10" s="10" t="str">
        <x:v>화산 군단</x:v>
      </x:c>
      <x:c r="F10" s="10" t="str">
        <x:v>지나간 자리에 피해 지대를 남긴다.</x:v>
      </x:c>
      <x:c r="G10" s="10" t="str">
        <x:v>빙결 포격</x:v>
      </x:c>
    </x:row>
    <x:row r="11" ht="54" customHeight="1">
      <x:c r="A11" s="9" t="str">
        <x:v>E06</x:v>
      </x:c>
      <x:c r="B11" s="9" t="str">
        <x:v>습지 점액체</x:v>
      </x:c>
      <x:c r="C11" s="9" t="str">
        <x:v>일반</x:v>
      </x:c>
      <x:c r="D11" s="9" t="str">
        <x:v>번개|냉기</x:v>
      </x:c>
      <x:c r="E11" s="9" t="str">
        <x:v>습지 생물</x:v>
      </x:c>
      <x:c r="F11" s="9" t="str">
        <x:v>밀집해서 출현하고 처치 시 약한 조각으로 분열한다.</x:v>
      </x:c>
      <x:c r="G11" s="9" t="str">
        <x:v>관통 사격</x:v>
      </x:c>
    </x:row>
    <x:row r="12" ht="54" customHeight="1">
      <x:c r="A12" s="10" t="str">
        <x:v>E07</x:v>
      </x:c>
      <x:c r="B12" s="10" t="str">
        <x:v>독가시 덩굴괴</x:v>
      </x:c>
      <x:c r="C12" s="10" t="str">
        <x:v>일반</x:v>
      </x:c>
      <x:c r="D12" s="10" t="str">
        <x:v>화염</x:v>
      </x:c>
      <x:c r="E12" s="10" t="str">
        <x:v>오염된 숲</x:v>
      </x:c>
      <x:c r="F12" s="10" t="str">
        <x:v>저지한 아군에게 회복 감소 약화를 건다. 정화 가능하다.</x:v>
      </x:c>
      <x:c r="G12" s="10" t="str">
        <x:v>용광로 방어</x:v>
      </x:c>
    </x:row>
    <x:row r="13" ht="54" customHeight="1">
      <x:c r="A13" s="9" t="str">
        <x:v>E08</x:v>
      </x:c>
      <x:c r="B13" s="9" t="str">
        <x:v>태엽 자폭병</x:v>
      </x:c>
      <x:c r="C13" s="9" t="str">
        <x:v>일반</x:v>
      </x:c>
      <x:c r="D13" s="9" t="str">
        <x:v>번개</x:v>
      </x:c>
      <x:c r="E13" s="9" t="str">
        <x:v>폐공장</x:v>
      </x:c>
      <x:c r="F13" s="9" t="str">
        <x:v>전방에 닿으면 잠시 후 자폭한다. 준비 중 처치할 수 있다.</x:v>
      </x:c>
      <x:c r="G13" s="9" t="str">
        <x:v>약점 분석</x:v>
      </x:c>
    </x:row>
    <x:row r="14" ht="54" customHeight="1">
      <x:c r="A14" s="10" t="str">
        <x:v>E09</x:v>
      </x:c>
      <x:c r="B14" s="10" t="str">
        <x:v>황금 성상</x:v>
      </x:c>
      <x:c r="C14" s="10" t="str">
        <x:v>정예</x:v>
      </x:c>
      <x:c r="D14" s="10" t="str">
        <x:v>암흑</x:v>
      </x:c>
      <x:c r="E14" s="10" t="str">
        <x:v>버려진 성당</x:v>
      </x:c>
      <x:c r="F14" s="10" t="str">
        <x:v>주변 몬스터에게 주기적으로 보호막을 준다.</x:v>
      </x:c>
      <x:c r="G14" s="10" t="str">
        <x:v>황혼 정화</x:v>
      </x:c>
    </x:row>
    <x:row r="15" ht="54" customHeight="1">
      <x:c r="A15" s="9" t="str">
        <x:v>E10</x:v>
      </x:c>
      <x:c r="B15" s="9" t="str">
        <x:v>메마른 골렘</x:v>
      </x:c>
      <x:c r="C15" s="9" t="str">
        <x:v>정예</x:v>
      </x:c>
      <x:c r="D15" s="9" t="str">
        <x:v>자연</x:v>
      </x:c>
      <x:c r="E15" s="9" t="str">
        <x:v>황무지</x:v>
      </x:c>
      <x:c r="F15" s="9" t="str">
        <x:v>높은 체력으로 전진하며 일정 주기로 보호막을 얻는다.</x:v>
      </x:c>
      <x:c r="G15" s="9" t="str">
        <x:v>자연 순환</x:v>
      </x:c>
    </x:row>
    <x:row r="16" ht="54" customHeight="1">
      <x:c r="A16" s="10" t="str">
        <x:v>E11</x:v>
      </x:c>
      <x:c r="B16" s="10" t="str">
        <x:v>균열 수정체</x:v>
      </x:c>
      <x:c r="C16" s="10" t="str">
        <x:v>일반</x:v>
      </x:c>
      <x:c r="D16" s="10" t="str">
        <x:v>물리</x:v>
      </x:c>
      <x:c r="E16" s="10" t="str">
        <x:v>마력 균열</x:v>
      </x:c>
      <x:c r="F16" s="10" t="str">
        <x:v>속성 공격을 받으면 일시적으로 이동속도가 증가한다.</x:v>
      </x:c>
      <x:c r="G16" s="10" t="str">
        <x:v>철벽 사격</x:v>
      </x:c>
    </x:row>
    <x:row r="17" ht="54" customHeight="1">
      <x:c r="A17" s="9" t="str">
        <x:v>E12</x:v>
      </x:c>
      <x:c r="B17" s="9" t="str">
        <x:v>균열질주자</x:v>
      </x:c>
      <x:c r="C17" s="9" t="str">
        <x:v>일반</x:v>
      </x:c>
      <x:c r="D17" s="9" t="str">
        <x:v>냉기|물리</x:v>
      </x:c>
      <x:c r="E17" s="9" t="str">
        <x:v>마력 균열</x:v>
      </x:c>
      <x:c r="F17" s="9" t="str">
        <x:v>빠르게 이동하며 저지에서 벗어난 뒤 재저지까지 짧은 유예가 있다.</x:v>
      </x:c>
      <x:c r="G17" s="9" t="str">
        <x:v>관통 사격</x:v>
      </x:c>
    </x:row>
    <x:row r="18" ht="54" customHeight="1">
      <x:c r="A18" s="10" t="str">
        <x:v>E13</x:v>
      </x:c>
      <x:c r="B18" s="10" t="str">
        <x:v>서리왕</x:v>
      </x:c>
      <x:c r="C18" s="10" t="str">
        <x:v>보스</x:v>
      </x:c>
      <x:c r="D18" s="10" t="str">
        <x:v>화염|물리</x:v>
      </x:c>
      <x:c r="E18" s="10" t="str">
        <x:v>북방 왕국</x:v>
      </x:c>
      <x:c r="F18" s="10" t="str">
        <x:v>밀치기와 속박에 면역이며 후방 한 곳을 예고 공격한다. 둔화는 낮은 상한 적용.</x:v>
      </x:c>
      <x:c r="G18" s="10" t="str">
        <x:v>용광로 방어</x:v>
      </x:c>
    </x:row>
    <x:row r="19" ht="54" customHeight="1">
      <x:c r="A19" s="9" t="str">
        <x:v>E14</x:v>
      </x:c>
      <x:c r="B19" s="9" t="str">
        <x:v>타락한 대주교</x:v>
      </x:c>
      <x:c r="C19" s="9" t="str">
        <x:v>보스</x:v>
      </x:c>
      <x:c r="D19" s="9" t="str">
        <x:v>암흑|자연</x:v>
      </x:c>
      <x:c r="E19" s="9" t="str">
        <x:v>버려진 성당</x:v>
      </x:c>
      <x:c r="F19" s="9" t="str">
        <x:v>회복 감소 약화와 보호막을 사용한다. 약화는 정화 가능하다.</x:v>
      </x:c>
      <x:c r="G19" s="9" t="str">
        <x:v>황혼 정화</x:v>
      </x:c>
    </x:row>
  </x:sheetData>
  <x:pageMargins left="0.7" right="0.7" top="0.75" bottom="0.75" header="0.3" footer="0.3"/>
  <x:tableParts count="1">
    <x:tablePart xmlns:r="http://schemas.openxmlformats.org/officeDocument/2006/relationships" r:id="Ree6c8ad1ce994798"/>
  </x:tableParts>
</x:worksheet>
</file>

<file path=xl/worksheets/sheet7.xml><?xml version="1.0" encoding="utf-8"?>
<x:worksheet xmlns:x="http://schemas.openxmlformats.org/spreadsheetml/2006/main">
  <x:sheetPr>
    <x:tabColor rgb="FF305E6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1" hidden="0" customWidth="1"/>
    <x:col min="5" max="5" width="18" hidden="0" customWidth="1"/>
    <x:col min="6" max="6" width="21" hidden="0" customWidth="1"/>
    <x:col min="7" max="7" width="18" hidden="0" customWidth="1"/>
    <x:col min="8" max="8" width="21" hidden="0" customWidth="1"/>
    <x:col min="9" max="9" width="18" hidden="0" customWidth="1"/>
    <x:col min="10" max="10" width="21" hidden="0" customWidth="1"/>
    <x:col min="11" max="11" width="72" hidden="0" customWidth="1"/>
    <x:col min="12" max="12" width="62" hidden="0" customWidth="1"/>
    <x:col min="13" max="13" width="46" hidden="0" customWidth="1"/>
    <x:col min="14" max="14" width="42" hidden="0" customWidth="1"/>
    <x:col min="15" max="15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추천 편성 빌드 10개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4명 편성은 초안. 활성 시너지는 유닛 ID 중복을 제외해 계산. 전투 성능은 플레이테스트 전.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8" t="str">
        <x:v>빌드 ID</x:v>
      </x:c>
      <x:c r="B5" s="8" t="str">
        <x:v>빌드명</x:v>
      </x:c>
      <x:c r="C5" s="8" t="str">
        <x:v>유닛 1 ID</x:v>
      </x:c>
      <x:c r="D5" s="8" t="str">
        <x:v>유닛 1</x:v>
      </x:c>
      <x:c r="E5" s="8" t="str">
        <x:v>유닛 2 ID</x:v>
      </x:c>
      <x:c r="F5" s="8" t="str">
        <x:v>유닛 2</x:v>
      </x:c>
      <x:c r="G5" s="8" t="str">
        <x:v>유닛 3 ID</x:v>
      </x:c>
      <x:c r="H5" s="8" t="str">
        <x:v>유닛 3</x:v>
      </x:c>
      <x:c r="I5" s="8" t="str">
        <x:v>유닛 4 ID</x:v>
      </x:c>
      <x:c r="J5" s="8" t="str">
        <x:v>유닛 4</x:v>
      </x:c>
      <x:c r="K5" s="8" t="str">
        <x:v>운용</x:v>
      </x:c>
      <x:c r="L5" s="8" t="str">
        <x:v>활성 시너지</x:v>
      </x:c>
      <x:c r="M5" s="8" t="str">
        <x:v>유리한 적</x:v>
      </x:c>
      <x:c r="N5" s="8" t="str">
        <x:v>취약 상황</x:v>
      </x:c>
      <x:c r="O5" s="8" t="str">
        <x:v>교체·속성 메모</x:v>
      </x:c>
    </x:row>
    <x:row r="6" ht="54" customHeight="1">
      <x:c r="A6" s="10" t="str">
        <x:v>B01</x:v>
      </x:c>
      <x:c r="B6" s="10" t="str">
        <x:v>철벽 사격</x:v>
      </x:c>
      <x:c r="C6" s="10" t="str">
        <x:v>U3_40000</x:v>
      </x:c>
      <x:c r="D6" s="10" t="str">
        <x:v>철벽수호자</x:v>
      </x:c>
      <x:c r="E6" s="10" t="str">
        <x:v>U3_02200</x:v>
      </x:c>
      <x:c r="F6" s="10" t="str">
        <x:v>포격지휘관</x:v>
      </x:c>
      <x:c r="G6" s="10" t="str">
        <x:v>U2_01100</x:v>
      </x:c>
      <x:c r="H6" s="10" t="str">
        <x:v>군악궁수</x:v>
      </x:c>
      <x:c r="I6" s="10" t="str">
        <x:v>U2_00020</x:v>
      </x:c>
      <x:c r="J6" s="10" t="str">
        <x:v>대치유사</x:v>
      </x:c>
      <x:c r="K6" s="10" t="str">
        <x:v>전방을 저지하고 후방의 고정 사격 피해를 누적한다.</x:v>
      </x:c>
      <x:c r="L6" s="10" t="str">
        <x:v>궁정 3명(2단계) / 용맹 3명(2단계)</x:v>
      </x:c>
      <x:c r="M6" s="10" t="str">
        <x:v>균열 수정체·보스 단일전</x:v>
      </x:c>
      <x:c r="N6" s="10" t="str">
        <x:v>다중 경로와 후방 교란</x:v>
      </x:c>
      <x:c r="O6" s="10" t="str">
        <x:v>물리 중심이며 속성 적합성이 낮은 맵에는 딜러 교체</x:v>
      </x:c>
    </x:row>
    <x:row r="7" ht="54" customHeight="1">
      <x:c r="A7" s="9" t="str">
        <x:v>B02</x:v>
      </x:c>
      <x:c r="B7" s="9" t="str">
        <x:v>성역 유지</x:v>
      </x:c>
      <x:c r="C7" s="9" t="str">
        <x:v>U3_20020</x:v>
      </x:c>
      <x:c r="D7" s="9" t="str">
        <x:v>성역기사</x:v>
      </x:c>
      <x:c r="E7" s="9" t="str">
        <x:v>U3_00220</x:v>
      </x:c>
      <x:c r="F7" s="9" t="str">
        <x:v>축복사제</x:v>
      </x:c>
      <x:c r="G7" s="9" t="str">
        <x:v>U2_02000</x:v>
      </x:c>
      <x:c r="H7" s="9" t="str">
        <x:v>명사수</x:v>
      </x:c>
      <x:c r="I7" s="9" t="str">
        <x:v>U2_01001</x:v>
      </x:c>
      <x:c r="J7" s="9" t="str">
        <x:v>마탄사수</x:v>
      </x:c>
      <x:c r="K7" s="9" t="str">
        <x:v>성역 회복과 초과 회복 보호막으로 전방을 유지한다.</x:v>
      </x:c>
      <x:c r="L7" s="9" t="str">
        <x:v>신성 2명(2단계) / 궁정 3명(2단계)</x:v>
      </x:c>
      <x:c r="M7" s="9" t="str">
        <x:v>망령 병사·지속 소모전</x:v>
      </x:c>
      <x:c r="N7" s="9" t="str">
        <x:v>회복 감소와 순간 폭발</x:v>
      </x:c>
      <x:c r="O7" s="9" t="str">
        <x:v>성역기사의 신성 공격과 마탄사수의 번개로 약점 분담</x:v>
      </x:c>
    </x:row>
    <x:row r="8" ht="54" customHeight="1">
      <x:c r="A8" s="10" t="str">
        <x:v>B03</x:v>
      </x:c>
      <x:c r="B8" s="10" t="str">
        <x:v>빙결 포격</x:v>
      </x:c>
      <x:c r="C8" s="10" t="str">
        <x:v>U3_20002</x:v>
      </x:c>
      <x:c r="D8" s="10" t="str">
        <x:v>룬수호자</x:v>
      </x:c>
      <x:c r="E8" s="10" t="str">
        <x:v>U3_00004</x:v>
      </x:c>
      <x:c r="F8" s="10" t="str">
        <x:v>대현자</x:v>
      </x:c>
      <x:c r="G8" s="10" t="str">
        <x:v>U2_00011</x:v>
      </x:c>
      <x:c r="H8" s="10" t="str">
        <x:v>서리술사</x:v>
      </x:c>
      <x:c r="I8" s="10" t="str">
        <x:v>U2_00101</x:v>
      </x:c>
      <x:c r="J8" s="10" t="str">
        <x:v>주술사</x:v>
      </x:c>
      <x:c r="K8" s="10" t="str">
        <x:v>서리 지대로 적을 모으고 룬 표식에 대현자의 포격을 맞춘다.</x:v>
      </x:c>
      <x:c r="L8" s="10" t="str">
        <x:v>비전 4명(4단계) / 공학 2명(2단계)</x:v>
      </x:c>
      <x:c r="M8" s="10" t="str">
        <x:v>서리 거인·밀집 진입</x:v>
      </x:c>
      <x:c r="N8" s="10" t="str">
        <x:v>화염 정령과 분산 경로</x:v>
      </x:c>
      <x:c r="O8" s="10" t="str">
        <x:v>화염 약점용 기본안이며 냉기 약점 맵은 대현자를 백야현자로 교체</x:v>
      </x:c>
    </x:row>
    <x:row r="9" ht="54" customHeight="1">
      <x:c r="A9" s="9" t="str">
        <x:v>B04</x:v>
      </x:c>
      <x:c r="B9" s="9" t="str">
        <x:v>관통 사격</x:v>
      </x:c>
      <x:c r="C9" s="9" t="str">
        <x:v>U3_02002</x:v>
      </x:c>
      <x:c r="D9" s="9" t="str">
        <x:v>마도저격수</x:v>
      </x:c>
      <x:c r="E9" s="9" t="str">
        <x:v>U3_20200</x:v>
      </x:c>
      <x:c r="F9" s="9" t="str">
        <x:v>전장의 원수</x:v>
      </x:c>
      <x:c r="G9" s="9" t="str">
        <x:v>U2_11000</x:v>
      </x:c>
      <x:c r="H9" s="9" t="str">
        <x:v>척후병</x:v>
      </x:c>
      <x:c r="I9" s="9" t="str">
        <x:v>U2_01010</x:v>
      </x:c>
      <x:c r="J9" s="9" t="str">
        <x:v>숲지기</x:v>
      </x:c>
      <x:c r="K9" s="9" t="str">
        <x:v>척후병의 밀치기와 전방 저지로 사격선 위에 적을 모은다.</x:v>
      </x:c>
      <x:c r="L9" s="9" t="str">
        <x:v>용맹 2명(2단계) / 자연 2명(2단계)</x:v>
      </x:c>
      <x:c r="M9" s="9" t="str">
        <x:v>습지 점액체·일자 경로</x:v>
      </x:c>
      <x:c r="N9" s="9" t="str">
        <x:v>단독 보스와 넓은 경로</x:v>
      </x:c>
      <x:c r="O9" s="9" t="str">
        <x:v>번개 관통과 자연 표식을 함께 사용</x:v>
      </x:c>
    </x:row>
    <x:row r="10" ht="54" customHeight="1">
      <x:c r="A10" s="10" t="str">
        <x:v>B05</x:v>
      </x:c>
      <x:c r="B10" s="10" t="str">
        <x:v>과충전 연사</x:v>
      </x:c>
      <x:c r="C10" s="10" t="str">
        <x:v>U3_03100</x:v>
      </x:c>
      <x:c r="D10" s="10" t="str">
        <x:v>폭풍사수</x:v>
      </x:c>
      <x:c r="E10" s="10" t="str">
        <x:v>U3_00202</x:v>
      </x:c>
      <x:c r="F10" s="10" t="str">
        <x:v>마력지휘자</x:v>
      </x:c>
      <x:c r="G10" s="10" t="str">
        <x:v>U2_10010</x:v>
      </x:c>
      <x:c r="H10" s="10" t="str">
        <x:v>성기사</x:v>
      </x:c>
      <x:c r="I10" s="10" t="str">
        <x:v>U2_00200</x:v>
      </x:c>
      <x:c r="J10" s="10" t="str">
        <x:v>기수</x:v>
      </x:c>
      <x:c r="K10" s="10" t="str">
        <x:v>폭풍사수의 연쇄 화살을 마력지휘자의 공격 횟수 감소로 자주 발동한다.</x:v>
      </x:c>
      <x:c r="L10" s="10" t="str">
        <x:v>궁정 4명(4단계) / 용맹 2명(2단계)</x:v>
      </x:c>
      <x:c r="M10" s="10" t="str">
        <x:v>밀집한 다수 적</x:v>
      </x:c>
      <x:c r="N10" s="10" t="str">
        <x:v>강화 해제와 주력 딜러 무력화</x:v>
      </x:c>
      <x:c r="O10" s="10" t="str">
        <x:v>물리·번개·신성 공격을 보유하지만 지원 유닛 화력은 낮음</x:v>
      </x:c>
    </x:row>
    <x:row r="11" ht="54" customHeight="1">
      <x:c r="A11" s="9" t="str">
        <x:v>B06</x:v>
      </x:c>
      <x:c r="B11" s="9" t="str">
        <x:v>자연 순환</x:v>
      </x:c>
      <x:c r="C11" s="9" t="str">
        <x:v>U3_21010</x:v>
      </x:c>
      <x:c r="D11" s="9" t="str">
        <x:v>수림수호자</x:v>
      </x:c>
      <x:c r="E11" s="9" t="str">
        <x:v>U3_02020</x:v>
      </x:c>
      <x:c r="F11" s="9" t="str">
        <x:v>생명궁성</x:v>
      </x:c>
      <x:c r="G11" s="9" t="str">
        <x:v>U3_01111</x:v>
      </x:c>
      <x:c r="H11" s="9" t="str">
        <x:v>세계수의 전령</x:v>
      </x:c>
      <x:c r="I11" s="9" t="str">
        <x:v>U3_01210</x:v>
      </x:c>
      <x:c r="J11" s="9" t="str">
        <x:v>숲의 악장</x:v>
      </x:c>
      <x:c r="K11" s="9" t="str">
        <x:v>저지·생명 표식·처치 회복을 연결해 전열과 광역 피해를 유지한다.</x:v>
      </x:c>
      <x:c r="L11" s="9" t="str">
        <x:v>자연 4명(4단계) / 신성 2명(2단계)</x:v>
      </x:c>
      <x:c r="M11" s="9" t="str">
        <x:v>메마른 골렘·분열하는 무리</x:v>
      </x:c>
      <x:c r="N11" s="9" t="str">
        <x:v>소환물이 없는 단독 보스</x:v>
      </x:c>
      <x:c r="O11" s="9" t="str">
        <x:v>4명 모두 자연 키워드로 자연 4단계 효과 발동</x:v>
      </x:c>
    </x:row>
    <x:row r="12" ht="54" customHeight="1">
      <x:c r="A12" s="10" t="str">
        <x:v>B07</x:v>
      </x:c>
      <x:c r="B12" s="10" t="str">
        <x:v>황혼 정화</x:v>
      </x:c>
      <x:c r="C12" s="10" t="str">
        <x:v>U3_10111</x:v>
      </x:c>
      <x:c r="D12" s="10" t="str">
        <x:v>황혼수호사제</x:v>
      </x:c>
      <x:c r="E12" s="10" t="str">
        <x:v>U3_00112</x:v>
      </x:c>
      <x:c r="F12" s="10" t="str">
        <x:v>황혼현자</x:v>
      </x:c>
      <x:c r="G12" s="10" t="str">
        <x:v>U3_00121</x:v>
      </x:c>
      <x:c r="H12" s="10" t="str">
        <x:v>황혼성직자</x:v>
      </x:c>
      <x:c r="I12" s="10" t="str">
        <x:v>U2_00101</x:v>
      </x:c>
      <x:c r="J12" s="10" t="str">
        <x:v>주술사</x:v>
      </x:c>
      <x:c r="K12" s="10" t="str">
        <x:v>주술사가 적에게 약화를 공급하고 황혼현자가 공격한다. 황혼성직자는 회복과 정화를 담당한다.</x:v>
      </x:c>
      <x:c r="L12" s="10" t="str">
        <x:v>신성 2명(2단계) / 암영 3명(2단계) / 비전 2명(2단계)</x:v>
      </x:c>
      <x:c r="M12" s="10" t="str">
        <x:v>독안개 마녀·황금 성상·타락한 대주교</x:v>
      </x:c>
      <x:c r="N12" s="10" t="str">
        <x:v>약화를 쓰지 않는 적과 약화 면역</x:v>
      </x:c>
      <x:c r="O12" s="10" t="str">
        <x:v>황혼성직자의 회복이 부족하면 황혼현자를 대치유사로 교체</x:v>
      </x:c>
    </x:row>
    <x:row r="13" ht="54" customHeight="1">
      <x:c r="A13" s="9" t="str">
        <x:v>B08</x:v>
      </x:c>
      <x:c r="B13" s="9" t="str">
        <x:v>약점 분석</x:v>
      </x:c>
      <x:c r="C13" s="9" t="str">
        <x:v>U3_20101</x:v>
      </x:c>
      <x:c r="D13" s="9" t="str">
        <x:v>왕립마도기사</x:v>
      </x:c>
      <x:c r="E13" s="9" t="str">
        <x:v>U3_02101</x:v>
      </x:c>
      <x:c r="F13" s="9" t="str">
        <x:v>룬연사수</x:v>
      </x:c>
      <x:c r="G13" s="9" t="str">
        <x:v>U3_00301</x:v>
      </x:c>
      <x:c r="H13" s="9" t="str">
        <x:v>룬설계자</x:v>
      </x:c>
      <x:c r="I13" s="9" t="str">
        <x:v>U2_00020</x:v>
      </x:c>
      <x:c r="J13" s="9" t="str">
        <x:v>대치유사</x:v>
      </x:c>
      <x:c r="K13" s="9" t="str">
        <x:v>번개 딜러와 약점 추가 피해 지원으로 번개 약점 적을 처리한다.</x:v>
      </x:c>
      <x:c r="L13" s="9" t="str">
        <x:v>비전 3명(2단계) / 공학 2명(2단계)</x:v>
      </x:c>
      <x:c r="M13" s="9" t="str">
        <x:v>갑주 반란병·태엽 자폭병</x:v>
      </x:c>
      <x:c r="N13" s="9" t="str">
        <x:v>번개 약점이 없는 맵</x:v>
      </x:c>
      <x:c r="O13" s="9" t="str">
        <x:v>맵의 약점 정보를 확인하고 핵심 딜러를 교체하는 편성</x:v>
      </x:c>
    </x:row>
    <x:row r="14" ht="54" customHeight="1">
      <x:c r="A14" s="10" t="str">
        <x:v>B09</x:v>
      </x:c>
      <x:c r="B14" s="10" t="str">
        <x:v>궁정 진형</x:v>
      </x:c>
      <x:c r="C14" s="10" t="str">
        <x:v>U3_11110</x:v>
      </x:c>
      <x:c r="D14" s="10" t="str">
        <x:v>왕실성전대장</x:v>
      </x:c>
      <x:c r="E14" s="10" t="str">
        <x:v>U3_11200</x:v>
      </x:c>
      <x:c r="F14" s="10" t="str">
        <x:v>왕실전술가</x:v>
      </x:c>
      <x:c r="G14" s="10" t="str">
        <x:v>U3_02200</x:v>
      </x:c>
      <x:c r="H14" s="10" t="str">
        <x:v>포격지휘관</x:v>
      </x:c>
      <x:c r="I14" s="10" t="str">
        <x:v>U2_00110</x:v>
      </x:c>
      <x:c r="J14" s="10" t="str">
        <x:v>사제</x:v>
      </x:c>
      <x:c r="K14" s="10" t="str">
        <x:v>앞쪽 보호막과 뒤쪽 사격 강화를 배치 방향에 맞춰 묶는다.</x:v>
      </x:c>
      <x:c r="L14" s="10" t="str">
        <x:v>궁정 4명(4단계) / 신성 2명(2단계) / 용맹 2명(2단계)</x:v>
      </x:c>
      <x:c r="M14" s="10" t="str">
        <x:v>물리 약점 적·정면 돌파</x:v>
      </x:c>
      <x:c r="N14" s="10" t="str">
        <x:v>뒤쪽 진입과 강제 이동</x:v>
      </x:c>
      <x:c r="O14" s="10" t="str">
        <x:v>4명 모두 궁정 키워드로 방어력 강화 최대 단계</x:v>
      </x:c>
    </x:row>
    <x:row r="15" ht="54" customHeight="1">
      <x:c r="A15" s="9" t="str">
        <x:v>B10</x:v>
      </x:c>
      <x:c r="B15" s="9" t="str">
        <x:v>용광로 방어</x:v>
      </x:c>
      <x:c r="C15" s="9" t="str">
        <x:v>U3_30001</x:v>
      </x:c>
      <x:c r="D15" s="9" t="str">
        <x:v>용광로 기사</x:v>
      </x:c>
      <x:c r="E15" s="9" t="str">
        <x:v>U3_10102</x:v>
      </x:c>
      <x:c r="F15" s="9" t="str">
        <x:v>화염군주</x:v>
      </x:c>
      <x:c r="G15" s="9" t="str">
        <x:v>U3_11002</x:v>
      </x:c>
      <x:c r="H15" s="9" t="str">
        <x:v>룬포격기사</x:v>
      </x:c>
      <x:c r="I15" s="9" t="str">
        <x:v>U2_00110</x:v>
      </x:c>
      <x:c r="J15" s="9" t="str">
        <x:v>사제</x:v>
      </x:c>
      <x:c r="K15" s="9" t="str">
        <x:v>전방 저지에 화염 포격과 연소를 집중하고 사제가 전방을 정화한다.</x:v>
      </x:c>
      <x:c r="L15" s="9" t="str">
        <x:v>공학 2명(2단계) / 용맹 2명(2단계) / 비전 2명(2단계)</x:v>
      </x:c>
      <x:c r="M15" s="9" t="str">
        <x:v>서리 거인·독가시 덩굴괴·서리왕</x:v>
      </x:c>
      <x:c r="N15" s="9" t="str">
        <x:v>화염 정령·빠른 우회 적</x:v>
      </x:c>
      <x:c r="O15" s="9" t="str">
        <x:v>화염 약점 공략용이며 냉기 딜러와 교체하는 수집 동기 제공</x:v>
      </x:c>
    </x:row>
  </x:sheetData>
  <x:pageMargins left="0.7" right="0.7" top="0.75" bottom="0.75" header="0.3" footer="0.3"/>
  <x:tableParts count="1">
    <x:tablePart xmlns:r="http://schemas.openxmlformats.org/officeDocument/2006/relationships" r:id="R72271b8ef5da49d5"/>
  </x:tableParts>
</x:worksheet>
</file>

<file path=xl/worksheets/sheet8.xml><?xml version="1.0" encoding="utf-8"?>
<x:worksheet xmlns:x="http://schemas.openxmlformats.org/spreadsheetml/2006/main">
  <x:sheetPr>
    <x:tabColor rgb="FF305E66"/>
  </x:sheetPr>
  <x:sheetViews>
    <x:sheetView showGridLines="0" workbookViewId="0"/>
  </x:sheetViews>
  <x:sheetFormatPr defaultRowHeight="15"/>
  <x:cols>
    <x:col min="1" max="1" width="28" hidden="0" customWidth="1"/>
    <x:col min="2" max="2" width="125" hidden="0" customWidth="1"/>
  </x:cols>
  <x:sheetData>
    <x:row r="1">
      <x:c r="A1" s="2"/>
      <x:c r="B1" s="2"/>
    </x:row>
    <x:row r="2">
      <x:c r="A2" s="3" t="str">
        <x:v>Unity 데이터 연결 안내</x:v>
      </x:c>
      <x:c r="B2" s="2"/>
    </x:row>
    <x:row r="3">
      <x:c r="A3" s="4" t="str">
        <x:v>데이터를 읽는 예제와 엑셀 내보내기 도구 포함. 게임 전투 능력이 자동 생성되는 기능은 아님.</x:v>
      </x:c>
      <x:c r="B3" s="2"/>
    </x:row>
    <x:row r="4">
      <x:c r="A4" s="2"/>
      <x:c r="B4" s="2"/>
    </x:row>
    <x:row r="5" ht="30" customHeight="1">
      <x:c r="A5" s="8" t="str">
        <x:v>항목</x:v>
      </x:c>
      <x:c r="B5" s="8" t="str">
        <x:v>내용</x:v>
      </x:c>
    </x:row>
    <x:row r="6" ht="54" customHeight="1">
      <x:c r="A6" s="10" t="str">
        <x:v>권장 연결</x:v>
      </x:c>
      <x:c r="B6" s="10" t="str">
        <x:v>Excel 편집 → Python 내보내기 → JSON → Unity TextAsset → JsonUtility.FromJson</x:v>
      </x:c>
    </x:row>
    <x:row r="7" ht="54" customHeight="1">
      <x:c r="A7" s="9" t="str">
        <x:v>자동 연결 여부</x:v>
      </x:c>
      <x:c r="B7" s="9" t="str">
        <x:v>엑셀 저장만으로 게임에 자동 반영되는 구조는 아님. 내보내기 후 Unity에서 파일을 다시 불러와야 함.</x:v>
      </x:c>
    </x:row>
    <x:row r="8" ht="54" customHeight="1">
      <x:c r="A8" s="10" t="str">
        <x:v>xlsx 직접 읽기</x:v>
      </x:c>
      <x:c r="B8" s="10" t="str">
        <x:v>별도 라이브러리나 에디터 도구로 구현 가능. 이 패키지는 추가 Unity 패키지 없이 JSON을 읽는 경로 사용.</x:v>
      </x:c>
    </x:row>
    <x:row r="9" ht="54" customHeight="1">
      <x:c r="A9" s="9" t="str">
        <x:v>1. 데이터 배치</x:v>
      </x:c>
      <x:c r="B9" s="9" t="str">
        <x:v>Data/game_data.json을 Unity 프로젝트의 Assets/Data 안으로 복사. Resources 폴더는 필요 없음.</x:v>
      </x:c>
    </x:row>
    <x:row r="10" ht="54" customHeight="1">
      <x:c r="A10" s="10" t="str">
        <x:v>2. 코드 배치</x:v>
      </x:c>
      <x:c r="B10" s="10" t="str">
        <x:v>Unity/MergeGameData.cs와 Unity/MergeGameDatabase.cs를 Assets/Scripts에 복사.</x:v>
      </x:c>
    </x:row>
    <x:row r="11" ht="54" customHeight="1">
      <x:c r="A11" s="9" t="str">
        <x:v>3. 컴포넌트 연결</x:v>
      </x:c>
      <x:c r="B11" s="9" t="str">
        <x:v>빈 GameObject에 MergeGameDatabase를 추가하고 Game Data Json 필드에 JSON 파일을 드래그.</x:v>
      </x:c>
    </x:row>
    <x:row r="12" ht="54" customHeight="1">
      <x:c r="A12" s="10" t="str">
        <x:v>4. 실행</x:v>
      </x:c>
      <x:c r="B12" s="10" t="str">
        <x:v>Awake에서 데이터 읽기 및 합성 규칙 검증. 실패하면 명확한 예외를 출력. 성공 후 GetUnit/TryResolveMerge 등 호출 가능.</x:v>
      </x:c>
    </x:row>
    <x:row r="13" ht="54" customHeight="1">
      <x:c r="A13" s="9" t="str">
        <x:v>5. 엑셀 변경 반영</x:v>
      </x:c>
      <x:c r="B13" s="9" t="str">
        <x:v>python Tools/export_workbook.py MergeTD_Design.xlsx Data/game_data.json 실행 후 JSON을 Assets/Data에 다시 복사. 런타임 중이면 Reload 호출.</x:v>
      </x:c>
    </x:row>
    <x:row r="14" ht="54" customHeight="1">
      <x:c r="A14" s="10" t="str">
        <x:v>CSV</x:v>
      </x:c>
      <x:c r="B14" s="10" t="str">
        <x:v>UTF-8 BOM CSV 3개도 동봉. JSON 로더는 CSV를 읽지 않으며 배열·설명 텍스트가 포함된 이 데이터에는 JSON을 권장.</x:v>
      </x:c>
    </x:row>
    <x:row r="15" ht="54" customHeight="1">
      <x:c r="A15" s="9" t="str">
        <x:v>합성 조회 예제</x:v>
      </x:c>
      <x:c r="B15" s="9" t="str">
        <x:v>db.TryResolveMerge("U2_10010", "U2_01001", out var result) → 심판자. 단순 결과 조회이며 인벤토리를 차감하지 않음.</x:v>
      </x:c>
    </x:row>
    <x:row r="16" ht="54" customHeight="1">
      <x:c r="A16" s="10" t="str">
        <x:v>같은 개체 합성</x:v>
      </x:c>
      <x:c r="B16" s="10" t="str">
        <x:v>동일 ID 2개 합성은 실제 서로 다른 개체가 2개 있을 때만 실행. 인벤토리·재료 소모·발견 저장·UI는 별도 구현.</x:v>
      </x:c>
    </x:row>
    <x:row r="17" ht="54" customHeight="1">
      <x:c r="A17" s="9" t="str">
        <x:v>공개 정보 분리</x:v>
      </x:c>
      <x:c r="B17" s="9" t="str">
        <x:v>제작식 DB는 개발용 전체 데이터. 상점은 shopHint인 제작식에서 결과와 직접 재료만 표시하고 하위 제작식을 자동 공개하지 않음.</x:v>
      </x:c>
    </x:row>
    <x:row r="18" ht="54" customHeight="1">
      <x:c r="A18" s="10" t="str">
        <x:v>약점 배율</x:v>
      </x:c>
      <x:c r="B18" s="10" t="str">
        <x:v>GetWeaknessMultiplier(unitId, monsterId)로 비교. 공격 피해에만 사용. 테마 시너지·방어 계산은 전투 시스템에서 별도 적용.</x:v>
      </x:c>
    </x:row>
    <x:row r="19" ht="54" customHeight="1">
      <x:c r="A19" s="9" t="str">
        <x:v>시너지 조회</x:v>
      </x:c>
      <x:c r="B19" s="9" t="str">
        <x:v>GetThemeCounts는 서로 다른 유닛 ID만 집계. GetActiveSynergies는 2/4종 기준의 활성 효과와 값을 반환. 배율 실제 적용은 별도 구현.</x:v>
      </x:c>
    </x:row>
    <x:row r="20" ht="54" customHeight="1">
      <x:c r="A20" s="10" t="str">
        <x:v>공격속성 범위</x:v>
      </x:c>
      <x:c r="B20" s="10" t="str">
        <x:v>초안에서는 해당 유닛의 모든 피해가 attackElement를 사용. 복합속성 능력은 현재 없음. 회복·보호막에는 약점 배율 미적용.</x:v>
      </x:c>
    </x:row>
    <x:row r="21" ht="54" customHeight="1">
      <x:c r="A21" s="9" t="str">
        <x:v>능력 구현 범위</x:v>
      </x:c>
      <x:c r="B21" s="9" t="str">
        <x:v>skillId/능력 설명은 데이터 정의. 90개 능력, 전투, 프리팹, 애니메이션, 장면, 인벤토리 구현은 포함하지 않음.</x:v>
      </x:c>
    </x:row>
    <x:row r="22" ht="54" customHeight="1">
      <x:c r="A22" s="10" t="str">
        <x:v>외부 의존성</x:v>
      </x:c>
      <x:c r="B22" s="10" t="str">
        <x:v>내보내기 스크립트: Python 3 표준 라이브러리만 사용. Unity 로더: UnityEngine 및 System 컬렉션만 사용.</x:v>
      </x:c>
    </x:row>
    <x:row r="23" ht="54" customHeight="1">
      <x:c r="A23" s="9" t="str">
        <x:v>ID 규칙</x:v>
      </x:c>
      <x:c r="B23" s="9" t="str">
        <x:v>U{티어}_{기사수}{궁수수}{버퍼수}{힐러수}{마법사수}. 이름 변경은 자유. ID와 기본 구성 변경은 내보내기 검증 대상.</x:v>
      </x:c>
    </x:row>
    <x:row r="24" ht="54" customHeight="1">
      <x:c r="A24" s="10" t="str">
        <x:v>단어 대응</x:v>
      </x:c>
      <x:c r="B24" s="10" t="str">
        <x:v>테마 1/2 → themeTags, 공격속성 → attackElement, 약점속성 → weakElements, 구성 키 → compositionKey</x:v>
      </x:c>
    </x:row>
    <x:row r="25" ht="54" customHeight="1">
      <x:c r="A25" s="9" t="str">
        <x:v>출처: Unity TextAsset</x:v>
      </x:c>
      <x:c r="B25" s="9" t="str">
        <x:v>https://docs.unity3d.com/6000.0/Documentation/Manual/class-TextAsset.html</x:v>
      </x:c>
    </x:row>
    <x:row r="26" ht="54" customHeight="1">
      <x:c r="A26" s="10" t="str">
        <x:v>출처: Unity JSON</x:v>
      </x:c>
      <x:c r="B26" s="10" t="str">
        <x:v>https://docs.unity3d.com/6000.0/Documentation/ScriptReference/JsonUtility.FromJson.html</x:v>
      </x:c>
    </x:row>
    <x:row r="27" ht="54" customHeight="1">
      <x:c r="A27" s="9" t="str">
        <x:v>참고작</x:v>
      </x:c>
      <x:c r="B27" s="9" t="str">
        <x:v>쿠키런: 크럼블은 수집·편성 방향 참고. 이 파일의 키워드·능력·배율은 본 게임용 창작 초안이며 원작의 실제 규칙을 옮긴 것이 아님.</x:v>
      </x:c>
    </x:row>
    <x:row r="28" ht="54" customHeight="1">
      <x:c r="A28" s="10" t="str">
        <x:v>참고작 공식 소개</x:v>
      </x:c>
      <x:c r="B28" s="10" t="str">
        <x:v>https://www.devsisters.com/stories/news/CC-global-launch</x:v>
      </x:c>
    </x:row>
  </x:sheetData>
  <x:pageMargins left="0.7" right="0.7" top="0.75" bottom="0.75" header="0.3" footer="0.3"/>
  <x:tableParts count="1">
    <x:tablePart xmlns:r="http://schemas.openxmlformats.org/officeDocument/2006/relationships" r:id="R5381eaca6171423f"/>
  </x:tableParts>
</x:worksheet>
</file>